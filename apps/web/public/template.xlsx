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Time" sheetId="2" r:id="rId6"/>
    <sheet state="hidden" name="DATA" sheetId="3" r:id="rId7"/>
    <sheet state="hidden" name="BIỂU PHÍ THAM KHẢO" sheetId="4" r:id="rId8"/>
  </sheets>
  <definedNames>
    <definedName hidden="1" localSheetId="2" name="_xlnm._FilterDatabase">DATA!$A$1:$A$28</definedName>
  </definedNames>
  <calcPr/>
</workbook>
</file>

<file path=xl/sharedStrings.xml><?xml version="1.0" encoding="utf-8"?>
<sst xmlns="http://schemas.openxmlformats.org/spreadsheetml/2006/main" count="590" uniqueCount="242">
  <si>
    <t>BIỂN SỐ</t>
  </si>
  <si>
    <t>LOẠI XE</t>
  </si>
  <si>
    <t>SỐ CHỔ</t>
  </si>
  <si>
    <t>HỌ TÊN CHỦ XE</t>
  </si>
  <si>
    <t>SỐ KHUNG</t>
  </si>
  <si>
    <t>SỐ MÁY</t>
  </si>
  <si>
    <t>SỐ HÀNH KHÁCH ĐƯỢC BẢO HIỂM</t>
  </si>
  <si>
    <t>PHÍ BẢO HIỂM/ 1 CHỔ NGỒI</t>
  </si>
  <si>
    <t>SỐ ĐIỆN THOẠI NHẬN GCN</t>
  </si>
  <si>
    <t>EMAIL</t>
  </si>
  <si>
    <t>ĐỊA CHỈ</t>
  </si>
  <si>
    <t>GIỚI TÍNH</t>
  </si>
  <si>
    <t>NGÀY BẮT ĐẦU HIỆU LỰC</t>
  </si>
  <si>
    <t>Giờ</t>
  </si>
  <si>
    <t>Phút</t>
  </si>
  <si>
    <t>SỐ NĂM BẢO HIỂM</t>
  </si>
  <si>
    <t>LOẠI PHÔI</t>
  </si>
  <si>
    <t>SỐ PHÔI</t>
  </si>
  <si>
    <t>ĐẠI LÝ</t>
  </si>
  <si>
    <t>81A-000.01</t>
  </si>
  <si>
    <t>XE Ô TÔ KHÔNG KD VẬN TẢI &amp; XE BUÝT</t>
  </si>
  <si>
    <t>Nguyễn Văn A</t>
  </si>
  <si>
    <t>000000</t>
  </si>
  <si>
    <t>0906643381</t>
  </si>
  <si>
    <t>qphuocins@gmail.com</t>
  </si>
  <si>
    <t>Gia Lai</t>
  </si>
  <si>
    <t>NỮ</t>
  </si>
  <si>
    <t>00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</si>
  <si>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</si>
  <si>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</si>
  <si>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</si>
  <si>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</si>
  <si>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</si>
  <si>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</si>
  <si>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</si>
  <si>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</si>
  <si>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</si>
  <si>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</si>
  <si>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</si>
  <si>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</si>
  <si>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</si>
  <si>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</si>
  <si>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</si>
  <si>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</si>
  <si>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</si>
  <si>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</si>
  <si>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</si>
  <si>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</si>
  <si>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</si>
  <si>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</si>
  <si>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</si>
  <si>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</si>
  <si>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</si>
  <si>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</si>
  <si>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</si>
  <si>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</si>
  <si>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</si>
  <si>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</si>
  <si>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</si>
  <si>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</si>
  <si>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</si>
  <si>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</si>
  <si>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</si>
  <si>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</si>
  <si>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</si>
  <si>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</si>
  <si>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</si>
  <si>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</si>
  <si>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</si>
  <si>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</si>
  <si>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</si>
  <si>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</si>
  <si>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</si>
  <si>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</si>
  <si>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</si>
  <si>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</si>
  <si>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</si>
  <si>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</si>
  <si>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</si>
  <si>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</si>
  <si>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</si>
  <si>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</si>
  <si>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</si>
  <si>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</si>
  <si>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</si>
  <si>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</si>
  <si>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</si>
  <si>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Vừa chở hàng và người (Mini van, Pickup) Không KD</t>
  </si>
  <si>
    <t>NAM</t>
  </si>
  <si>
    <t>OTO CHUYỂN ĐỔI</t>
  </si>
  <si>
    <t>Vừa chở hàng và người (Mini van, Pickup) Kinh doanh</t>
  </si>
  <si>
    <t>OTO BẢN IN</t>
  </si>
  <si>
    <t>XE ĐẦU KÉO các loại (Kinh doanh)</t>
  </si>
  <si>
    <t>XE ĐẦU KÉO các loại (Không KD)</t>
  </si>
  <si>
    <t>XE Ô TÔ CHỞ HÀNG, XE TẢI Dưới 3 tấn (Kinh doanh)</t>
  </si>
  <si>
    <t>XE Ô TÔ CHỞ HÀNG, XE TẢI Từ 3 đến 8 tấn (Kinh doanh)</t>
  </si>
  <si>
    <t>XE Ô TÔ CHỞ HÀNG, XE TẢI Trên 8 đến 15 tấn (Kinh doanh)</t>
  </si>
  <si>
    <t>XE Ô TÔ CHỞ HÀNG, XE TẢI Trên 15 tấn (Kinh doanh)</t>
  </si>
  <si>
    <t>XE Ô TÔ CHỞ HÀNG, XE TẢI Dưới 3 tấn (Không kinh doanh)</t>
  </si>
  <si>
    <t>XE Ô TÔ CHỞ HÀNG, XE TẢI Từ 3 đến 8 tấn (Không kinh doanh)</t>
  </si>
  <si>
    <t>XE Ô TÔ CHỞ HÀNG, XE TẢI Trên 8 đến 15 tấn (Không kinh doanh)</t>
  </si>
  <si>
    <t>XE Ô TÔ CHỞ HÀNG, XE TẢI Trên 15 tấn (Không kinh doanh)</t>
  </si>
  <si>
    <t>XE Ô TÔ CHUYÊN DÙNG Dưới 3 tấn</t>
  </si>
  <si>
    <t>XE Ô TÔ CHUYÊN DÙNG Trên 15 tấn</t>
  </si>
  <si>
    <t>XE Ô TÔ CHUYÊN DÙNG Trên 8 đến 15 tấn</t>
  </si>
  <si>
    <t>XE Ô TÔ CHUYÊN DÙNG Từ 3 đến 8 tấn</t>
  </si>
  <si>
    <t>XE Ô TÔ CHUYÊN DÙNG Xe chở tiền</t>
  </si>
  <si>
    <t>XE Ô TÔ CHUYÊN DÙNG Xe cứu thương</t>
  </si>
  <si>
    <t>XE Ô TÔ KD VẬN TẢI</t>
  </si>
  <si>
    <t>XE TẬP LÁI (CHỞ NGƯỜI)</t>
  </si>
  <si>
    <t>XE TẬP LÁI CHỞ HÀNG (XE TẢI) Dưới 3 tấn</t>
  </si>
  <si>
    <t>XE TẬP LÁI CHỞ HÀNG (XE TẢI) Trên 15 tấn</t>
  </si>
  <si>
    <t>XE TẬP LÁI CHỞ HÀNG (XE TẢI) Trên 8 đến 15 tấn</t>
  </si>
  <si>
    <t>XE TẬP LÁI CHỞ HÀNG (XE TẢI) Từ 3 đến 8 tấn</t>
  </si>
  <si>
    <t>XE TAXI</t>
  </si>
  <si>
    <t>XE BUÝT</t>
  </si>
  <si>
    <t>STT</t>
  </si>
  <si>
    <t>TNDS ĐỐI VỚI BÊN THỨ BA</t>
  </si>
  <si>
    <t>TAI NẠN NGƯỜI TRÊN XE</t>
  </si>
  <si>
    <t>TỔNG CỘNG PHÍ</t>
  </si>
  <si>
    <t>AutomobilesType</t>
  </si>
  <si>
    <t>Attributes.Seat</t>
  </si>
  <si>
    <t>Attributes.Category</t>
  </si>
  <si>
    <t>PassengerCount</t>
  </si>
  <si>
    <t>Phí TNDS có thuế</t>
  </si>
  <si>
    <t>Phí TNDS chưa thuế</t>
  </si>
  <si>
    <t>Thuế GTGT (TNDS)</t>
  </si>
  <si>
    <t>Phí BH TN 
(1 người)</t>
  </si>
  <si>
    <t>Lái, phụ xe</t>
  </si>
  <si>
    <t>Số người trên xe</t>
  </si>
  <si>
    <t xml:space="preserve">Phí BH TN </t>
  </si>
  <si>
    <t>3 = 4+5</t>
  </si>
  <si>
    <t>5 = 4x10%</t>
  </si>
  <si>
    <t>9 = 6x(7+8)</t>
  </si>
  <si>
    <t>10 = 3+9</t>
  </si>
  <si>
    <t>I.</t>
  </si>
  <si>
    <t>XE MÔ TÔ 2-3 BÁNH</t>
  </si>
  <si>
    <t>Mô tô 2 bánh 
Từ 50 cc trở xuống</t>
  </si>
  <si>
    <t>Mô tô 2 bánh 
Trên 50 cc</t>
  </si>
  <si>
    <t>Xe mô tô ba bánh, xe gắn máy và các loại xe cơ giới tương tự</t>
  </si>
  <si>
    <t>II.</t>
  </si>
  <si>
    <t>XE GẮN MÁY (BAO GỒM XE MÁY ĐIỆN) VÀ CÁC LOẠI XE CƠ GIỚI TƯƠNG TỰ</t>
  </si>
  <si>
    <t>Xe máy điện</t>
  </si>
  <si>
    <t>Các loại xe còn lại</t>
  </si>
  <si>
    <t>III.</t>
  </si>
  <si>
    <t>XE Ô TÔ KHÔNG KINH DOANH VẬN TẢI &amp; XE BUÝT (Phí bảo hiểm BB TNDS xe buýt đã bao gồm hành khách trên xe)</t>
  </si>
  <si>
    <t>04 chỗ</t>
  </si>
  <si>
    <t>NON_COMMERCIAL</t>
  </si>
  <si>
    <t>05 chỗ</t>
  </si>
  <si>
    <t>06 chỗ</t>
  </si>
  <si>
    <t>07 chỗ</t>
  </si>
  <si>
    <t>08 chỗ</t>
  </si>
  <si>
    <t>09 chỗ</t>
  </si>
  <si>
    <t>10 chỗ</t>
  </si>
  <si>
    <t>11 chỗ</t>
  </si>
  <si>
    <t>12 chỗ</t>
  </si>
  <si>
    <t>15 chỗ</t>
  </si>
  <si>
    <t>16 chỗ</t>
  </si>
  <si>
    <t>20 chỗ</t>
  </si>
  <si>
    <t>24 chỗ</t>
  </si>
  <si>
    <t>25 chỗ</t>
  </si>
  <si>
    <t>28 chỗ</t>
  </si>
  <si>
    <t>29 chỗ</t>
  </si>
  <si>
    <t>30 chỗ</t>
  </si>
  <si>
    <t>32 chỗ</t>
  </si>
  <si>
    <t>35 chỗ</t>
  </si>
  <si>
    <t>40 chỗ</t>
  </si>
  <si>
    <t>42 chỗ</t>
  </si>
  <si>
    <t>43 chỗ</t>
  </si>
  <si>
    <t>44 chỗ</t>
  </si>
  <si>
    <t>45 chỗ</t>
  </si>
  <si>
    <t>47 chỗ</t>
  </si>
  <si>
    <t>50 chỗ</t>
  </si>
  <si>
    <t>55 chỗ</t>
  </si>
  <si>
    <t>60 chỗ</t>
  </si>
  <si>
    <t>IV</t>
  </si>
  <si>
    <t>XE Ô TÔ KINH DOANH VẬN TẢI (Phí bảo hiểm BB TNDS đã bao gồm hành khách trên xe)</t>
  </si>
  <si>
    <t>COMMERCIAL</t>
  </si>
  <si>
    <t>13 chỗ</t>
  </si>
  <si>
    <t>14 chỗ</t>
  </si>
  <si>
    <t>17 chỗ</t>
  </si>
  <si>
    <t>18 chỗ</t>
  </si>
  <si>
    <t>19 chỗ</t>
  </si>
  <si>
    <t>21 chỗ</t>
  </si>
  <si>
    <t>22 chỗ</t>
  </si>
  <si>
    <t>23 chỗ</t>
  </si>
  <si>
    <t>26 chỗ</t>
  </si>
  <si>
    <t>27 chỗ</t>
  </si>
  <si>
    <t>31 chỗ</t>
  </si>
  <si>
    <t>33 chỗ</t>
  </si>
  <si>
    <t>34 chỗ</t>
  </si>
  <si>
    <t>36 chỗ</t>
  </si>
  <si>
    <t>37 chỗ</t>
  </si>
  <si>
    <t>38 chỗ</t>
  </si>
  <si>
    <t>39 chỗ</t>
  </si>
  <si>
    <t>41 chỗ</t>
  </si>
  <si>
    <t>46 chỗ</t>
  </si>
  <si>
    <t>48 chỗ</t>
  </si>
  <si>
    <t>49 chỗ</t>
  </si>
  <si>
    <t>51 chỗ</t>
  </si>
  <si>
    <t xml:space="preserve">Cách tính phí xe trên 25 chỗ= 4.813.000 + 30.000 x (số chỗngồi - 25 chỗ) chưa có thuế (10% VAT)             </t>
  </si>
  <si>
    <t>V</t>
  </si>
  <si>
    <t>XE Ô TÔ CHỞ HÀNG (XE TẢI)</t>
  </si>
  <si>
    <t>XE Ô TÔ CHỞ HÀNG, XE TẢI</t>
  </si>
  <si>
    <t>Dưới 3 tấn</t>
  </si>
  <si>
    <t>DELIVERY_TRUCK</t>
  </si>
  <si>
    <t>UNDER_THREE_TONS</t>
  </si>
  <si>
    <t>Từ 3 đến 8 tấn</t>
  </si>
  <si>
    <t>THREE_TO_EIGHT_TONS</t>
  </si>
  <si>
    <t>Trên 8 đến 15 tấn</t>
  </si>
  <si>
    <t>EIGHT_TO_FIFTEEN_TONS</t>
  </si>
  <si>
    <t>Trên 15 tấn</t>
  </si>
  <si>
    <t>OVER_FIFTEEN_TONS</t>
  </si>
  <si>
    <t>VI</t>
  </si>
  <si>
    <r>
      <rPr>
        <rFont val="Arial"/>
        <b/>
        <color rgb="FFFFFFFF"/>
        <sz val="11.0"/>
      </rPr>
      <t xml:space="preserve">XE VỪA CHỞ NGƯỜI VỪA CHỞ HÀNG (MINI VAN, PICKUP)
</t>
    </r>
    <r>
      <rPr>
        <rFont val="Arial"/>
        <b/>
        <i/>
        <color rgb="FFFFFFFF"/>
        <sz val="11.0"/>
      </rPr>
      <t>(Kiểm tra số người lái phụ xe và người ngồi cụ thể theo đăng ký xe để cấp phí tai nạn người ngồi trên xe</t>
    </r>
  </si>
  <si>
    <t>XE VỪA CHỞ NGƯỜI VỪA CHỞ HÀNG (MINI VAN, PICKUP)</t>
  </si>
  <si>
    <t>MINI_VAN</t>
  </si>
  <si>
    <t>VII</t>
  </si>
  <si>
    <t>XE TAXI (Phí bảo hiểm BB TNDS đã bao gồm hành khách trên xe)</t>
  </si>
  <si>
    <t>Dưới 06 chỗ</t>
  </si>
  <si>
    <t>TAXI</t>
  </si>
  <si>
    <t>UNDER_SIX</t>
  </si>
  <si>
    <t>VIII</t>
  </si>
  <si>
    <t>XE ĐẦU KÉO (Phí bảo hiểm của xe đầu kéo rơ-mooc là phí của cả đầu kéo và rơ-mooc)</t>
  </si>
  <si>
    <t>XE ĐẦU KÉO</t>
  </si>
  <si>
    <t>Các loại</t>
  </si>
  <si>
    <t>CONTAINER</t>
  </si>
  <si>
    <t>ALL</t>
  </si>
  <si>
    <t>IX</t>
  </si>
  <si>
    <t>XE Ô TÔ CHUYÊN DÙNG</t>
  </si>
  <si>
    <t>SPECIALIZED</t>
  </si>
  <si>
    <t>Xe cứu thương</t>
  </si>
  <si>
    <t>AMBULANCE</t>
  </si>
  <si>
    <t>Xe chở tiền</t>
  </si>
  <si>
    <t>MONEY_TRUCK</t>
  </si>
  <si>
    <t>X</t>
  </si>
  <si>
    <t>TRAINER</t>
  </si>
  <si>
    <t>XI</t>
  </si>
  <si>
    <t>XE TẬP LÁI CHỞ HÀNG (XE TẢI)</t>
  </si>
  <si>
    <t>TRAINER_TRUCK</t>
  </si>
  <si>
    <t>XII</t>
  </si>
  <si>
    <t>XE MÁY CHUYÊN DÙNG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</si>
</sst>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;[Red]0"/>
    <numFmt numFmtId="165" formatCode="_(* #,##0_);_(* \(#,##0\);_(* &quot;-&quot;??_);_(@_)"/>
  </numFmts>
  <fonts count="12">
    <font>
      <sz val="11.0"/>
      <color theme="1"/>
      <name val="Arial"/>
      <scheme val="minor"/>
    </font>
    <font>
      <b/>
      <sz val="11.0"/>
      <color theme="1"/>
      <name val="Arial"/>
    </font>
    <font>
      <color theme="1"/>
      <name val="Arial"/>
      <scheme val="minor"/>
    </font>
    <font>
      <b/>
      <u/>
      <sz val="11.0"/>
      <color theme="1"/>
      <name val="Arial"/>
    </font>
    <font>
      <sz val="11.0"/>
      <color theme="1"/>
      <name val="Arial"/>
    </font>
    <font>
      <u/>
      <sz val="11.0"/>
      <color theme="10"/>
      <name val="Arial"/>
    </font>
    <font>
      <b/>
      <sz val="11.0"/>
      <color rgb="FFFFFFFF"/>
      <name val="Arial"/>
    </font>
    <font/>
    <font>
      <b/>
      <sz val="11.0"/>
      <color rgb="FF000000"/>
      <name val="Arial"/>
    </font>
    <font>
      <sz val="11.0"/>
      <color rgb="FF000000"/>
      <name val="Arial"/>
    </font>
    <font>
      <sz val="11.0"/>
      <color rgb="FFFF0000"/>
      <name val="Arial"/>
    </font>
    <font>
      <b/>
      <i/>
      <sz val="11.0"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C6C6"/>
        <bgColor rgb="FFFFC6C6"/>
      </patternFill>
    </fill>
    <fill>
      <patternFill patternType="solid">
        <fgColor rgb="FF008080"/>
        <bgColor rgb="FF008080"/>
      </patternFill>
    </fill>
    <fill>
      <patternFill patternType="solid">
        <fgColor rgb="FF993366"/>
        <bgColor rgb="FF993366"/>
      </patternFill>
    </fill>
  </fills>
  <borders count="3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double">
        <color rgb="FF993366"/>
      </left>
      <right style="thin">
        <color rgb="FF000000"/>
      </right>
      <top style="double">
        <color rgb="FF993366"/>
      </top>
    </border>
    <border>
      <left style="thin">
        <color rgb="FF000000"/>
      </left>
      <top style="double">
        <color rgb="FF993366"/>
      </top>
    </border>
    <border>
      <right style="double">
        <color rgb="FF993366"/>
      </right>
      <top style="double">
        <color rgb="FF993366"/>
      </top>
    </border>
    <border>
      <left style="double">
        <color rgb="FF993366"/>
      </left>
      <top style="double">
        <color rgb="FF993366"/>
      </top>
      <bottom style="thin">
        <color rgb="FF000000"/>
      </bottom>
    </border>
    <border>
      <top style="double">
        <color rgb="FF993366"/>
      </top>
      <bottom style="thin">
        <color rgb="FF000000"/>
      </bottom>
    </border>
    <border>
      <right style="thin">
        <color rgb="FF000000"/>
      </right>
      <top style="double">
        <color rgb="FF993366"/>
      </top>
      <bottom style="thin">
        <color rgb="FF000000"/>
      </bottom>
    </border>
    <border>
      <left/>
      <top style="double">
        <color rgb="FF993366"/>
      </top>
      <bottom/>
    </border>
    <border>
      <top style="double">
        <color rgb="FF993366"/>
      </top>
      <bottom/>
    </border>
    <border>
      <right style="thin">
        <color rgb="FF000000"/>
      </right>
      <top style="double">
        <color rgb="FF993366"/>
      </top>
      <bottom/>
    </border>
    <border>
      <left style="thin">
        <color rgb="FF000000"/>
      </left>
      <right style="double">
        <color rgb="FF993366"/>
      </right>
      <top style="double">
        <color rgb="FF993366"/>
      </top>
    </border>
    <border>
      <left style="double">
        <color rgb="FF993366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double">
        <color rgb="FF993366"/>
      </right>
      <bottom style="thin">
        <color rgb="FF000000"/>
      </bottom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double">
        <color rgb="FF993366"/>
      </right>
      <bottom style="thin">
        <color rgb="FF000000"/>
      </bottom>
    </border>
    <border>
      <left style="double">
        <color rgb="FF993366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double">
        <color rgb="FF993366"/>
      </right>
      <top style="thin">
        <color rgb="FF000000"/>
      </top>
      <bottom style="thin">
        <color rgb="FF000000"/>
      </bottom>
    </border>
    <border>
      <left style="double">
        <color rgb="FF993366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double">
        <color rgb="FF993366"/>
      </right>
      <top style="thin">
        <color rgb="FF000000"/>
      </top>
      <bottom style="thin">
        <color rgb="FF000000"/>
      </bottom>
    </border>
    <border>
      <left style="double">
        <color rgb="FF993366"/>
      </left>
      <right/>
      <top style="thin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double">
        <color rgb="FF993366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double">
        <color rgb="FF993366"/>
      </right>
      <top style="thin">
        <color rgb="FF000000"/>
      </top>
    </border>
    <border>
      <left style="double">
        <color rgb="FF993366"/>
      </left>
      <right style="thin">
        <color rgb="FF000000"/>
      </right>
      <top style="thin">
        <color rgb="FF000000"/>
      </top>
      <bottom style="double">
        <color rgb="FF993366"/>
      </bottom>
    </border>
    <border>
      <left style="thin">
        <color rgb="FF000000"/>
      </left>
      <top style="thin">
        <color rgb="FF000000"/>
      </top>
      <bottom style="double">
        <color rgb="FF993366"/>
      </bottom>
    </border>
    <border>
      <top style="thin">
        <color rgb="FF000000"/>
      </top>
      <bottom style="double">
        <color rgb="FF993366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993366"/>
      </bottom>
    </border>
    <border>
      <left style="thin">
        <color rgb="FF000000"/>
      </left>
      <right style="double">
        <color rgb="FF993366"/>
      </right>
      <top style="thin">
        <color rgb="FF000000"/>
      </top>
      <bottom style="double">
        <color rgb="FF993366"/>
      </bottom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1" fillId="0" fontId="1" numFmtId="49" xfId="0" applyBorder="1" applyFont="1" applyNumberFormat="1"/>
    <xf borderId="1" fillId="0" fontId="1" numFmtId="14" xfId="0" applyBorder="1" applyFont="1" applyNumberFormat="1"/>
    <xf borderId="1" fillId="0" fontId="1" numFmtId="0" xfId="0" applyAlignment="1" applyBorder="1" applyFont="1">
      <alignment horizontal="right"/>
    </xf>
    <xf borderId="1" fillId="0" fontId="1" numFmtId="164" xfId="0" applyAlignment="1" applyBorder="1" applyFont="1" applyNumberFormat="1">
      <alignment horizontal="right"/>
    </xf>
    <xf borderId="0" fillId="0" fontId="1" numFmtId="0" xfId="0" applyFont="1"/>
    <xf borderId="1" fillId="2" fontId="1" numFmtId="49" xfId="0" applyBorder="1" applyFill="1" applyFont="1" applyNumberFormat="1"/>
    <xf borderId="0" fillId="0" fontId="2" numFmtId="0" xfId="0" applyFont="1"/>
    <xf borderId="1" fillId="2" fontId="1" numFmtId="0" xfId="0" applyBorder="1" applyFont="1"/>
    <xf borderId="1" fillId="2" fontId="3" numFmtId="14" xfId="0" applyBorder="1" applyFont="1" applyNumberFormat="1"/>
    <xf borderId="1" fillId="2" fontId="4" numFmtId="0" xfId="0" applyBorder="1" applyFont="1"/>
    <xf borderId="1" fillId="2" fontId="1" numFmtId="14" xfId="0" applyBorder="1" applyFont="1" applyNumberFormat="1"/>
    <xf borderId="1" fillId="2" fontId="4" numFmtId="0" xfId="0" applyAlignment="1" applyBorder="1" applyFont="1">
      <alignment horizontal="right"/>
    </xf>
    <xf borderId="1" fillId="2" fontId="4" numFmtId="164" xfId="0" applyAlignment="1" applyBorder="1" applyFont="1" applyNumberFormat="1">
      <alignment horizontal="right"/>
    </xf>
    <xf borderId="0" fillId="0" fontId="4" numFmtId="49" xfId="0" applyFont="1" applyNumberFormat="1"/>
    <xf borderId="0" fillId="0" fontId="5" numFmtId="14" xfId="0" applyFont="1" applyNumberFormat="1"/>
    <xf borderId="0" fillId="0" fontId="4" numFmtId="14" xfId="0" applyFont="1" applyNumberFormat="1"/>
    <xf borderId="0" fillId="0" fontId="4" numFmtId="0" xfId="0" applyAlignment="1" applyFont="1">
      <alignment horizontal="right"/>
    </xf>
    <xf borderId="0" fillId="0" fontId="4" numFmtId="164" xfId="0" applyAlignment="1" applyFont="1" applyNumberFormat="1">
      <alignment horizontal="right"/>
    </xf>
    <xf borderId="0" fillId="0" fontId="4" numFmtId="0" xfId="0" applyFont="1"/>
    <xf quotePrefix="1" borderId="0" fillId="0" fontId="4" numFmtId="0" xfId="0" applyFont="1"/>
    <xf borderId="2" fillId="3" fontId="4" numFmtId="0" xfId="0" applyBorder="1" applyFill="1" applyFont="1"/>
    <xf borderId="3" fillId="4" fontId="6" numFmtId="0" xfId="0" applyAlignment="1" applyBorder="1" applyFill="1" applyFont="1">
      <alignment horizontal="center" shrinkToFit="0" vertical="center" wrapText="1"/>
    </xf>
    <xf borderId="4" fillId="4" fontId="6" numFmtId="0" xfId="0" applyAlignment="1" applyBorder="1" applyFont="1">
      <alignment horizontal="center" shrinkToFit="0" vertical="center" wrapText="1"/>
    </xf>
    <xf borderId="5" fillId="0" fontId="7" numFmtId="0" xfId="0" applyBorder="1" applyFont="1"/>
    <xf borderId="6" fillId="4" fontId="6" numFmtId="0" xfId="0" applyAlignment="1" applyBorder="1" applyFont="1">
      <alignment horizontal="center" shrinkToFit="0" vertical="center" wrapText="1"/>
    </xf>
    <xf borderId="7" fillId="0" fontId="7" numFmtId="0" xfId="0" applyBorder="1" applyFont="1"/>
    <xf borderId="8" fillId="0" fontId="7" numFmtId="0" xfId="0" applyBorder="1" applyFont="1"/>
    <xf borderId="9" fillId="4" fontId="6" numFmtId="165" xfId="0" applyAlignment="1" applyBorder="1" applyFont="1" applyNumberFormat="1">
      <alignment horizontal="center" shrinkToFit="0" vertical="center" wrapText="1"/>
    </xf>
    <xf borderId="10" fillId="0" fontId="7" numFmtId="0" xfId="0" applyBorder="1" applyFont="1"/>
    <xf borderId="11" fillId="0" fontId="7" numFmtId="0" xfId="0" applyBorder="1" applyFont="1"/>
    <xf borderId="12" fillId="4" fontId="6" numFmtId="165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horizontal="center"/>
    </xf>
    <xf borderId="13" fillId="0" fontId="7" numFmtId="0" xfId="0" applyBorder="1" applyFont="1"/>
    <xf borderId="14" fillId="0" fontId="7" numFmtId="0" xfId="0" applyBorder="1" applyFont="1"/>
    <xf borderId="15" fillId="0" fontId="7" numFmtId="0" xfId="0" applyBorder="1" applyFont="1"/>
    <xf borderId="16" fillId="4" fontId="6" numFmtId="165" xfId="0" applyAlignment="1" applyBorder="1" applyFont="1" applyNumberFormat="1">
      <alignment horizontal="center" shrinkToFit="0" vertical="center" wrapText="1"/>
    </xf>
    <xf borderId="17" fillId="4" fontId="6" numFmtId="165" xfId="0" applyAlignment="1" applyBorder="1" applyFont="1" applyNumberFormat="1">
      <alignment horizontal="center" shrinkToFit="0" vertical="center" wrapText="1"/>
    </xf>
    <xf borderId="1" fillId="4" fontId="6" numFmtId="165" xfId="0" applyAlignment="1" applyBorder="1" applyFont="1" applyNumberFormat="1">
      <alignment horizontal="center" shrinkToFit="0" vertical="center" wrapText="1"/>
    </xf>
    <xf borderId="18" fillId="0" fontId="7" numFmtId="0" xfId="0" applyBorder="1" applyFont="1"/>
    <xf borderId="19" fillId="4" fontId="6" numFmtId="0" xfId="0" applyAlignment="1" applyBorder="1" applyFont="1">
      <alignment horizontal="center" shrinkToFit="0" vertical="center" wrapText="1"/>
    </xf>
    <xf borderId="20" fillId="4" fontId="6" numFmtId="0" xfId="0" applyAlignment="1" applyBorder="1" applyFont="1">
      <alignment horizontal="center" shrinkToFit="0" vertical="center" wrapText="1"/>
    </xf>
    <xf borderId="21" fillId="0" fontId="7" numFmtId="0" xfId="0" applyBorder="1" applyFont="1"/>
    <xf borderId="19" fillId="4" fontId="6" numFmtId="165" xfId="0" applyAlignment="1" applyBorder="1" applyFont="1" applyNumberFormat="1">
      <alignment horizontal="center" shrinkToFit="0" vertical="center" wrapText="1"/>
    </xf>
    <xf borderId="1" fillId="4" fontId="6" numFmtId="0" xfId="0" applyAlignment="1" applyBorder="1" applyFont="1">
      <alignment horizontal="center" shrinkToFit="0" vertical="center" wrapText="1"/>
    </xf>
    <xf borderId="22" fillId="4" fontId="6" numFmtId="165" xfId="0" applyAlignment="1" applyBorder="1" applyFont="1" applyNumberFormat="1">
      <alignment horizontal="center" shrinkToFit="0" vertical="center" wrapText="1"/>
    </xf>
    <xf borderId="23" fillId="4" fontId="6" numFmtId="165" xfId="0" applyAlignment="1" applyBorder="1" applyFont="1" applyNumberFormat="1">
      <alignment horizontal="center" shrinkToFit="0" vertical="center" wrapText="1"/>
    </xf>
    <xf borderId="24" fillId="0" fontId="6" numFmtId="0" xfId="0" applyAlignment="1" applyBorder="1" applyFont="1">
      <alignment horizontal="center" shrinkToFit="0" vertical="center" wrapText="1"/>
    </xf>
    <xf borderId="25" fillId="0" fontId="6" numFmtId="0" xfId="0" applyAlignment="1" applyBorder="1" applyFont="1">
      <alignment horizontal="center" shrinkToFit="0" vertical="center" wrapText="1"/>
    </xf>
    <xf borderId="25" fillId="0" fontId="6" numFmtId="165" xfId="0" applyAlignment="1" applyBorder="1" applyFont="1" applyNumberFormat="1">
      <alignment horizontal="center" shrinkToFit="0" vertical="center" wrapText="1"/>
    </xf>
    <xf borderId="25" fillId="0" fontId="8" numFmtId="165" xfId="0" applyAlignment="1" applyBorder="1" applyFont="1" applyNumberFormat="1">
      <alignment horizontal="center" shrinkToFit="0" vertical="center" wrapText="1"/>
    </xf>
    <xf borderId="26" fillId="0" fontId="8" numFmtId="165" xfId="0" applyAlignment="1" applyBorder="1" applyFont="1" applyNumberFormat="1">
      <alignment horizontal="center" shrinkToFit="0" vertical="center" wrapText="1"/>
    </xf>
    <xf borderId="27" fillId="5" fontId="6" numFmtId="0" xfId="0" applyAlignment="1" applyBorder="1" applyFill="1" applyFont="1">
      <alignment horizontal="center" vertical="center"/>
    </xf>
    <xf borderId="28" fillId="5" fontId="6" numFmtId="0" xfId="0" applyAlignment="1" applyBorder="1" applyFont="1">
      <alignment horizontal="left" shrinkToFit="0" vertical="center" wrapText="1"/>
    </xf>
    <xf borderId="25" fillId="0" fontId="7" numFmtId="0" xfId="0" applyBorder="1" applyFont="1"/>
    <xf borderId="26" fillId="0" fontId="7" numFmtId="0" xfId="0" applyBorder="1" applyFont="1"/>
    <xf borderId="19" fillId="0" fontId="4" numFmtId="0" xfId="0" applyAlignment="1" applyBorder="1" applyFont="1">
      <alignment horizontal="center" vertical="center"/>
    </xf>
    <xf borderId="20" fillId="0" fontId="9" numFmtId="0" xfId="0" applyAlignment="1" applyBorder="1" applyFont="1">
      <alignment horizontal="left" shrinkToFit="0" vertical="center" wrapText="1"/>
    </xf>
    <xf borderId="29" fillId="0" fontId="1" numFmtId="165" xfId="0" applyAlignment="1" applyBorder="1" applyFont="1" applyNumberFormat="1">
      <alignment vertical="center"/>
    </xf>
    <xf borderId="1" fillId="0" fontId="4" numFmtId="165" xfId="0" applyAlignment="1" applyBorder="1" applyFont="1" applyNumberFormat="1">
      <alignment horizontal="right" vertical="center"/>
    </xf>
    <xf borderId="1" fillId="0" fontId="4" numFmtId="165" xfId="0" applyAlignment="1" applyBorder="1" applyFont="1" applyNumberFormat="1">
      <alignment vertical="center"/>
    </xf>
    <xf borderId="1" fillId="0" fontId="9" numFmtId="165" xfId="0" applyAlignment="1" applyBorder="1" applyFont="1" applyNumberFormat="1">
      <alignment vertical="center"/>
    </xf>
    <xf borderId="1" fillId="0" fontId="9" numFmtId="0" xfId="0" applyAlignment="1" applyBorder="1" applyFont="1">
      <alignment horizontal="center" vertical="center"/>
    </xf>
    <xf borderId="20" fillId="0" fontId="9" numFmtId="165" xfId="0" applyAlignment="1" applyBorder="1" applyFont="1" applyNumberFormat="1">
      <alignment vertical="center"/>
    </xf>
    <xf borderId="23" fillId="0" fontId="8" numFmtId="165" xfId="0" applyAlignment="1" applyBorder="1" applyFont="1" applyNumberFormat="1">
      <alignment vertical="center"/>
    </xf>
    <xf borderId="19" fillId="0" fontId="9" numFmtId="0" xfId="0" applyAlignment="1" applyBorder="1" applyFont="1">
      <alignment horizontal="center" vertical="center"/>
    </xf>
    <xf borderId="25" fillId="0" fontId="9" numFmtId="0" xfId="0" applyAlignment="1" applyBorder="1" applyFont="1">
      <alignment horizontal="left" shrinkToFit="0" vertical="center" wrapText="1"/>
    </xf>
    <xf borderId="25" fillId="0" fontId="1" numFmtId="165" xfId="0" applyAlignment="1" applyBorder="1" applyFont="1" applyNumberFormat="1">
      <alignment vertical="center"/>
    </xf>
    <xf borderId="25" fillId="0" fontId="4" numFmtId="165" xfId="0" applyAlignment="1" applyBorder="1" applyFont="1" applyNumberFormat="1">
      <alignment horizontal="right" vertical="center"/>
    </xf>
    <xf borderId="25" fillId="0" fontId="4" numFmtId="165" xfId="0" applyAlignment="1" applyBorder="1" applyFont="1" applyNumberFormat="1">
      <alignment vertical="center"/>
    </xf>
    <xf borderId="25" fillId="0" fontId="9" numFmtId="165" xfId="0" applyAlignment="1" applyBorder="1" applyFont="1" applyNumberFormat="1">
      <alignment vertical="center"/>
    </xf>
    <xf borderId="25" fillId="0" fontId="9" numFmtId="0" xfId="0" applyAlignment="1" applyBorder="1" applyFont="1">
      <alignment horizontal="center" vertical="center"/>
    </xf>
    <xf borderId="26" fillId="0" fontId="8" numFmtId="165" xfId="0" applyAlignment="1" applyBorder="1" applyFont="1" applyNumberFormat="1">
      <alignment vertical="center"/>
    </xf>
    <xf borderId="19" fillId="5" fontId="6" numFmtId="0" xfId="0" applyAlignment="1" applyBorder="1" applyFont="1">
      <alignment horizontal="center" vertical="center"/>
    </xf>
    <xf borderId="20" fillId="0" fontId="10" numFmtId="0" xfId="0" applyAlignment="1" applyBorder="1" applyFont="1">
      <alignment horizontal="left" vertical="center"/>
    </xf>
    <xf borderId="26" fillId="0" fontId="4" numFmtId="0" xfId="0" applyAlignment="1" applyBorder="1" applyFont="1">
      <alignment horizontal="center" vertical="center"/>
    </xf>
    <xf borderId="24" fillId="0" fontId="1" numFmtId="165" xfId="0" applyAlignment="1" applyBorder="1" applyFont="1" applyNumberFormat="1">
      <alignment vertical="center"/>
    </xf>
    <xf borderId="25" fillId="0" fontId="8" numFmtId="165" xfId="0" applyAlignment="1" applyBorder="1" applyFont="1" applyNumberFormat="1">
      <alignment vertical="center"/>
    </xf>
    <xf borderId="0" fillId="0" fontId="4" numFmtId="0" xfId="0" applyAlignment="1" applyFont="1">
      <alignment horizontal="center" shrinkToFit="0" wrapText="1"/>
    </xf>
    <xf borderId="20" fillId="0" fontId="4" numFmtId="0" xfId="0" applyAlignment="1" applyBorder="1" applyFont="1">
      <alignment horizontal="left" vertical="center"/>
    </xf>
    <xf borderId="24" fillId="2" fontId="11" numFmtId="165" xfId="0" applyAlignment="1" applyBorder="1" applyFont="1" applyNumberFormat="1">
      <alignment horizontal="left" vertical="center"/>
    </xf>
    <xf borderId="30" fillId="2" fontId="8" numFmtId="165" xfId="0" applyAlignment="1" applyBorder="1" applyFont="1" applyNumberFormat="1">
      <alignment vertical="center"/>
    </xf>
    <xf borderId="20" fillId="0" fontId="4" numFmtId="0" xfId="0" applyAlignment="1" applyBorder="1" applyFont="1">
      <alignment vertical="center"/>
    </xf>
    <xf borderId="26" fillId="0" fontId="4" numFmtId="0" xfId="0" applyAlignment="1" applyBorder="1" applyFont="1">
      <alignment vertical="center"/>
    </xf>
    <xf borderId="31" fillId="0" fontId="4" numFmtId="0" xfId="0" applyAlignment="1" applyBorder="1" applyFont="1">
      <alignment horizontal="left" shrinkToFit="0" vertical="center" wrapText="1"/>
    </xf>
    <xf borderId="32" fillId="0" fontId="7" numFmtId="0" xfId="0" applyBorder="1" applyFont="1"/>
    <xf borderId="24" fillId="0" fontId="4" numFmtId="0" xfId="0" applyAlignment="1" applyBorder="1" applyFont="1">
      <alignment horizontal="center" vertical="center"/>
    </xf>
    <xf borderId="25" fillId="0" fontId="4" numFmtId="0" xfId="0" applyAlignment="1" applyBorder="1" applyFont="1">
      <alignment vertical="center"/>
    </xf>
    <xf borderId="19" fillId="0" fontId="1" numFmtId="165" xfId="0" applyAlignment="1" applyBorder="1" applyFont="1" applyNumberFormat="1">
      <alignment vertical="center"/>
    </xf>
    <xf borderId="33" fillId="0" fontId="4" numFmtId="0" xfId="0" applyAlignment="1" applyBorder="1" applyFont="1">
      <alignment horizontal="center" vertical="center"/>
    </xf>
    <xf borderId="34" fillId="0" fontId="4" numFmtId="0" xfId="0" applyAlignment="1" applyBorder="1" applyFont="1">
      <alignment vertical="center"/>
    </xf>
    <xf borderId="35" fillId="0" fontId="4" numFmtId="0" xfId="0" applyAlignment="1" applyBorder="1" applyFont="1">
      <alignment vertical="center"/>
    </xf>
    <xf borderId="33" fillId="0" fontId="1" numFmtId="165" xfId="0" applyAlignment="1" applyBorder="1" applyFont="1" applyNumberFormat="1">
      <alignment vertical="center"/>
    </xf>
    <xf borderId="36" fillId="0" fontId="4" numFmtId="165" xfId="0" applyAlignment="1" applyBorder="1" applyFont="1" applyNumberFormat="1">
      <alignment horizontal="right" vertical="center"/>
    </xf>
    <xf borderId="36" fillId="0" fontId="4" numFmtId="165" xfId="0" applyAlignment="1" applyBorder="1" applyFont="1" applyNumberFormat="1">
      <alignment vertical="center"/>
    </xf>
    <xf borderId="36" fillId="0" fontId="9" numFmtId="165" xfId="0" applyAlignment="1" applyBorder="1" applyFont="1" applyNumberFormat="1">
      <alignment vertical="center"/>
    </xf>
    <xf borderId="36" fillId="0" fontId="9" numFmtId="0" xfId="0" applyAlignment="1" applyBorder="1" applyFont="1">
      <alignment horizontal="center" vertical="center"/>
    </xf>
    <xf borderId="34" fillId="0" fontId="9" numFmtId="165" xfId="0" applyAlignment="1" applyBorder="1" applyFont="1" applyNumberFormat="1">
      <alignment vertical="center"/>
    </xf>
    <xf borderId="37" fillId="0" fontId="8" numFmtId="165" xfId="0" applyAlignment="1" applyBorder="1" applyFont="1" applyNumberForma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9.25"/>
    <col customWidth="1" min="2" max="2" width="53.5"/>
    <col customWidth="1" min="3" max="3" width="8.0"/>
    <col customWidth="1" min="4" max="4" width="18.38"/>
    <col customWidth="1" min="5" max="5" width="19.75"/>
    <col customWidth="1" min="6" max="6" width="13.25"/>
    <col customWidth="1" min="7" max="7" width="32.25"/>
    <col customWidth="1" min="8" max="8" width="25.38"/>
    <col customWidth="1" min="9" max="9" width="24.88"/>
    <col customWidth="1" min="10" max="10" width="21.25"/>
    <col customWidth="1" min="11" max="11" width="29.13"/>
    <col customWidth="1" min="12" max="12" width="9.5"/>
    <col customWidth="1" min="13" max="13" width="24.25"/>
    <col customWidth="1" min="14" max="14" width="4.13"/>
    <col customWidth="1" min="15" max="15" width="4.88"/>
    <col customWidth="1" min="16" max="16" width="17.75"/>
    <col customWidth="1" min="17" max="17" width="10.13"/>
    <col customWidth="1" min="18" max="18" width="8.38"/>
    <col customWidth="1" min="19" max="26" width="9.0"/>
  </cols>
  <sheetData>
    <row r="1" ht="13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2" t="s">
        <v>11</v>
      </c>
      <c r="M1" s="3" t="s">
        <v>12</v>
      </c>
      <c r="N1" s="4" t="s">
        <v>13</v>
      </c>
      <c r="O1" s="5" t="s">
        <v>14</v>
      </c>
      <c r="P1" s="1" t="s">
        <v>15</v>
      </c>
      <c r="Q1" s="1" t="s">
        <v>16</v>
      </c>
      <c r="R1" s="2" t="s">
        <v>17</v>
      </c>
      <c r="S1" s="2" t="s">
        <v>18</v>
      </c>
      <c r="T1" s="6"/>
      <c r="U1" s="6"/>
      <c r="V1" s="6"/>
      <c r="W1" s="6"/>
      <c r="X1" s="6"/>
      <c r="Y1" s="6"/>
      <c r="Z1" s="6"/>
    </row>
    <row r="2" ht="13.5" customHeight="1">
      <c r="A2" s="7" t="s">
        <v>19</v>
      </c>
      <c r="B2" s="8" t="s">
        <v>20</v>
      </c>
      <c r="C2" s="8">
        <v>5.0</v>
      </c>
      <c r="D2" s="7" t="s">
        <v>21</v>
      </c>
      <c r="E2" s="7" t="s">
        <v>22</v>
      </c>
      <c r="F2" s="7" t="s">
        <v>22</v>
      </c>
      <c r="G2" s="9"/>
      <c r="H2" s="9"/>
      <c r="I2" s="7" t="s">
        <v>23</v>
      </c>
      <c r="J2" s="10" t="s">
        <v>24</v>
      </c>
      <c r="K2" s="11" t="s">
        <v>25</v>
      </c>
      <c r="L2" s="7" t="s">
        <v>26</v>
      </c>
      <c r="M2" s="12">
        <v>46228.0</v>
      </c>
      <c r="N2" s="13">
        <v>12.0</v>
      </c>
      <c r="O2" s="14">
        <v>30.0</v>
      </c>
      <c r="P2" s="11">
        <v>1.0</v>
      </c>
      <c r="Q2" s="8"/>
      <c r="R2" s="15"/>
    </row>
    <row r="3" ht="13.5" customHeight="1">
      <c r="B3" s="8"/>
      <c r="C3" s="8"/>
      <c r="G3" s="8"/>
      <c r="H3" s="8"/>
      <c r="I3" s="15"/>
      <c r="J3" s="16"/>
      <c r="K3" s="17"/>
      <c r="L3" s="15"/>
      <c r="M3" s="17"/>
      <c r="N3" s="18"/>
      <c r="O3" s="19"/>
      <c r="P3" s="8"/>
      <c r="Q3" s="8"/>
      <c r="R3" s="15"/>
    </row>
    <row r="4" ht="13.5" customHeight="1">
      <c r="B4" s="8"/>
      <c r="C4" s="8"/>
      <c r="G4" s="8"/>
      <c r="H4" s="8"/>
      <c r="I4" s="15"/>
      <c r="J4" s="16"/>
      <c r="K4" s="17"/>
      <c r="L4" s="15"/>
      <c r="M4" s="17"/>
      <c r="N4" s="18"/>
      <c r="O4" s="19"/>
      <c r="P4" s="8"/>
      <c r="Q4" s="8"/>
      <c r="R4" s="15"/>
    </row>
    <row r="5" ht="13.5" customHeight="1">
      <c r="B5" s="8"/>
      <c r="C5" s="8"/>
      <c r="G5" s="8"/>
      <c r="H5" s="8"/>
      <c r="I5" s="15"/>
      <c r="J5" s="16"/>
      <c r="K5" s="17"/>
      <c r="L5" s="15"/>
      <c r="M5" s="17"/>
      <c r="N5" s="18"/>
      <c r="O5" s="19"/>
      <c r="P5" s="8"/>
      <c r="Q5" s="8"/>
      <c r="R5" s="15"/>
    </row>
    <row r="6" ht="13.5" customHeight="1">
      <c r="B6" s="8"/>
      <c r="C6" s="8"/>
      <c r="G6" s="8"/>
      <c r="H6" s="8"/>
      <c r="I6" s="15"/>
      <c r="J6" s="16"/>
      <c r="K6" s="17"/>
      <c r="L6" s="15"/>
      <c r="M6" s="17"/>
      <c r="N6" s="18"/>
      <c r="O6" s="19"/>
      <c r="P6" s="8"/>
      <c r="Q6" s="8"/>
      <c r="R6" s="15"/>
    </row>
    <row r="7" ht="13.5" customHeight="1">
      <c r="B7" s="8"/>
      <c r="C7" s="8"/>
      <c r="G7" s="8"/>
      <c r="H7" s="8"/>
      <c r="I7" s="15"/>
      <c r="J7" s="16"/>
      <c r="K7" s="17"/>
      <c r="L7" s="15"/>
      <c r="M7" s="17"/>
      <c r="N7" s="18"/>
      <c r="O7" s="19"/>
      <c r="P7" s="8"/>
      <c r="Q7" s="8"/>
      <c r="R7" s="15"/>
    </row>
    <row r="8" ht="13.5" customHeight="1">
      <c r="B8" s="8"/>
      <c r="C8" s="8"/>
      <c r="G8" s="8"/>
      <c r="H8" s="8"/>
      <c r="I8" s="15"/>
      <c r="J8" s="16"/>
      <c r="K8" s="17"/>
      <c r="L8" s="15"/>
      <c r="M8" s="17"/>
      <c r="N8" s="18"/>
      <c r="O8" s="19"/>
      <c r="P8" s="8"/>
      <c r="Q8" s="8"/>
      <c r="R8" s="15"/>
    </row>
    <row r="9" ht="13.5" customHeight="1">
      <c r="B9" s="8"/>
      <c r="C9" s="8"/>
      <c r="G9" s="8"/>
      <c r="H9" s="8"/>
      <c r="I9" s="15"/>
      <c r="K9" s="20"/>
      <c r="L9" s="15"/>
      <c r="M9" s="17"/>
      <c r="N9" s="18"/>
      <c r="O9" s="19"/>
      <c r="P9" s="8"/>
      <c r="Q9" s="8"/>
      <c r="R9" s="15"/>
    </row>
    <row r="10" ht="13.5" customHeight="1">
      <c r="B10" s="8"/>
      <c r="C10" s="8"/>
      <c r="G10" s="8"/>
      <c r="H10" s="8"/>
      <c r="I10" s="15"/>
      <c r="K10" s="20"/>
      <c r="L10" s="15"/>
      <c r="M10" s="17"/>
      <c r="N10" s="18"/>
      <c r="O10" s="19"/>
      <c r="P10" s="8"/>
      <c r="Q10" s="8"/>
      <c r="R10" s="15"/>
    </row>
    <row r="11" ht="13.5" customHeight="1">
      <c r="B11" s="8"/>
      <c r="C11" s="8"/>
      <c r="G11" s="8"/>
      <c r="H11" s="8"/>
      <c r="I11" s="15"/>
      <c r="K11" s="20"/>
      <c r="L11" s="15"/>
      <c r="M11" s="17"/>
      <c r="N11" s="18"/>
      <c r="O11" s="19"/>
      <c r="P11" s="8"/>
      <c r="Q11" s="8"/>
      <c r="R11" s="15"/>
    </row>
    <row r="12" ht="13.5" customHeight="1">
      <c r="B12" s="8"/>
      <c r="C12" s="8"/>
      <c r="G12" s="8"/>
      <c r="H12" s="8"/>
      <c r="I12" s="15"/>
      <c r="K12" s="20"/>
      <c r="L12" s="15"/>
      <c r="M12" s="17"/>
      <c r="N12" s="18"/>
      <c r="O12" s="19"/>
      <c r="P12" s="8"/>
      <c r="Q12" s="8"/>
      <c r="R12" s="15"/>
    </row>
    <row r="13" ht="13.5" customHeight="1">
      <c r="B13" s="8"/>
      <c r="C13" s="8"/>
      <c r="G13" s="8"/>
      <c r="H13" s="8"/>
      <c r="I13" s="15"/>
      <c r="K13" s="20"/>
      <c r="L13" s="15"/>
      <c r="M13" s="17"/>
      <c r="N13" s="18"/>
      <c r="O13" s="19"/>
      <c r="P13" s="8"/>
      <c r="Q13" s="8"/>
      <c r="R13" s="15"/>
    </row>
    <row r="14" ht="13.5" customHeight="1">
      <c r="B14" s="8"/>
      <c r="C14" s="8"/>
      <c r="G14" s="8"/>
      <c r="H14" s="8"/>
      <c r="I14" s="15"/>
      <c r="K14" s="20"/>
      <c r="L14" s="15"/>
      <c r="M14" s="17"/>
      <c r="N14" s="18"/>
      <c r="O14" s="19"/>
      <c r="P14" s="8"/>
      <c r="Q14" s="8"/>
      <c r="R14" s="15"/>
    </row>
    <row r="15" ht="13.5" customHeight="1">
      <c r="B15" s="8"/>
      <c r="C15" s="8"/>
      <c r="G15" s="8"/>
      <c r="H15" s="8"/>
      <c r="I15" s="15"/>
      <c r="K15" s="20"/>
      <c r="L15" s="15"/>
      <c r="M15" s="17"/>
      <c r="N15" s="18"/>
      <c r="O15" s="19"/>
      <c r="P15" s="8"/>
      <c r="Q15" s="8"/>
      <c r="R15" s="15"/>
    </row>
    <row r="16" ht="13.5" customHeight="1">
      <c r="B16" s="8"/>
      <c r="C16" s="8"/>
      <c r="G16" s="8"/>
      <c r="H16" s="8"/>
      <c r="I16" s="15"/>
      <c r="K16" s="20"/>
      <c r="L16" s="15"/>
      <c r="M16" s="17"/>
      <c r="N16" s="18"/>
      <c r="O16" s="19"/>
      <c r="P16" s="8"/>
      <c r="Q16" s="8"/>
      <c r="R16" s="15"/>
    </row>
    <row r="17" ht="13.5" customHeight="1">
      <c r="B17" s="8"/>
      <c r="C17" s="8"/>
      <c r="G17" s="8"/>
      <c r="H17" s="8"/>
      <c r="I17" s="15"/>
      <c r="K17" s="20"/>
      <c r="L17" s="15"/>
      <c r="M17" s="17"/>
      <c r="N17" s="18"/>
      <c r="O17" s="19"/>
      <c r="P17" s="8"/>
      <c r="Q17" s="8"/>
      <c r="R17" s="15"/>
    </row>
    <row r="18" ht="13.5" customHeight="1">
      <c r="B18" s="8"/>
      <c r="C18" s="8"/>
      <c r="G18" s="8"/>
      <c r="H18" s="8"/>
      <c r="I18" s="15"/>
      <c r="K18" s="20"/>
      <c r="L18" s="15"/>
      <c r="M18" s="17"/>
      <c r="N18" s="18"/>
      <c r="O18" s="19"/>
      <c r="P18" s="8"/>
      <c r="Q18" s="8"/>
      <c r="R18" s="15"/>
    </row>
    <row r="19" ht="13.5" customHeight="1">
      <c r="B19" s="8"/>
      <c r="C19" s="8"/>
      <c r="G19" s="8"/>
      <c r="H19" s="8"/>
      <c r="I19" s="15"/>
      <c r="K19" s="20"/>
      <c r="L19" s="15"/>
      <c r="M19" s="17"/>
      <c r="N19" s="18"/>
      <c r="O19" s="19"/>
      <c r="P19" s="8"/>
      <c r="Q19" s="8"/>
      <c r="R19" s="15"/>
    </row>
    <row r="20" ht="13.5" customHeight="1">
      <c r="B20" s="8"/>
      <c r="C20" s="8"/>
      <c r="G20" s="8"/>
      <c r="H20" s="8"/>
      <c r="I20" s="15"/>
      <c r="K20" s="20"/>
      <c r="L20" s="15"/>
      <c r="M20" s="17"/>
      <c r="N20" s="18"/>
      <c r="O20" s="19"/>
      <c r="P20" s="8"/>
      <c r="Q20" s="8"/>
      <c r="R20" s="15"/>
    </row>
    <row r="21" ht="13.5" customHeight="1">
      <c r="B21" s="8"/>
      <c r="C21" s="8"/>
      <c r="G21" s="8"/>
      <c r="H21" s="8"/>
      <c r="I21" s="15"/>
      <c r="K21" s="20"/>
      <c r="L21" s="15"/>
      <c r="M21" s="17"/>
      <c r="N21" s="18"/>
      <c r="O21" s="19"/>
      <c r="P21" s="8"/>
      <c r="Q21" s="8"/>
      <c r="R21" s="15"/>
    </row>
    <row r="22" ht="13.5" customHeight="1">
      <c r="B22" s="8"/>
      <c r="C22" s="8"/>
      <c r="G22" s="8"/>
      <c r="H22" s="8"/>
      <c r="I22" s="15"/>
      <c r="K22" s="20"/>
      <c r="L22" s="15"/>
      <c r="M22" s="17"/>
      <c r="N22" s="18"/>
      <c r="O22" s="19"/>
      <c r="P22" s="8"/>
      <c r="Q22" s="8"/>
      <c r="R22" s="15"/>
    </row>
    <row r="23" ht="13.5" customHeight="1">
      <c r="B23" s="8"/>
      <c r="C23" s="8"/>
      <c r="G23" s="8"/>
      <c r="H23" s="8"/>
      <c r="I23" s="15"/>
      <c r="K23" s="20"/>
      <c r="L23" s="15"/>
      <c r="M23" s="17"/>
      <c r="N23" s="18"/>
      <c r="O23" s="19"/>
      <c r="P23" s="8"/>
      <c r="Q23" s="8"/>
      <c r="R23" s="15"/>
    </row>
    <row r="24" ht="13.5" customHeight="1">
      <c r="B24" s="8"/>
      <c r="C24" s="8"/>
      <c r="G24" s="8"/>
      <c r="H24" s="8"/>
      <c r="I24" s="15"/>
      <c r="K24" s="20"/>
      <c r="L24" s="15"/>
      <c r="M24" s="17"/>
      <c r="N24" s="18"/>
      <c r="O24" s="19"/>
      <c r="P24" s="8"/>
      <c r="Q24" s="8"/>
      <c r="R24" s="15"/>
    </row>
    <row r="25" ht="13.5" customHeight="1">
      <c r="B25" s="8"/>
      <c r="C25" s="8"/>
      <c r="G25" s="8"/>
      <c r="H25" s="8"/>
      <c r="I25" s="15"/>
      <c r="K25" s="20"/>
      <c r="L25" s="15"/>
      <c r="M25" s="17"/>
      <c r="N25" s="18"/>
      <c r="O25" s="19"/>
      <c r="P25" s="8"/>
      <c r="Q25" s="8"/>
      <c r="R25" s="15"/>
    </row>
    <row r="26" ht="13.5" customHeight="1">
      <c r="B26" s="8"/>
      <c r="C26" s="8"/>
      <c r="G26" s="8"/>
      <c r="H26" s="8"/>
      <c r="I26" s="15"/>
      <c r="K26" s="20"/>
      <c r="L26" s="15"/>
      <c r="M26" s="17"/>
      <c r="N26" s="18"/>
      <c r="O26" s="19"/>
      <c r="P26" s="8"/>
      <c r="Q26" s="8"/>
      <c r="R26" s="15"/>
    </row>
    <row r="27" ht="13.5" customHeight="1">
      <c r="B27" s="8"/>
      <c r="C27" s="8"/>
      <c r="G27" s="8"/>
      <c r="H27" s="8"/>
      <c r="I27" s="15"/>
      <c r="K27" s="20"/>
      <c r="L27" s="15"/>
      <c r="M27" s="17"/>
      <c r="N27" s="18"/>
      <c r="O27" s="19"/>
      <c r="P27" s="8"/>
      <c r="Q27" s="8"/>
      <c r="R27" s="15"/>
    </row>
    <row r="28" ht="13.5" customHeight="1">
      <c r="B28" s="8"/>
      <c r="C28" s="8"/>
      <c r="G28" s="8"/>
      <c r="H28" s="8"/>
      <c r="I28" s="15"/>
      <c r="K28" s="20"/>
      <c r="L28" s="15"/>
      <c r="M28" s="17"/>
      <c r="N28" s="18"/>
      <c r="O28" s="19"/>
      <c r="P28" s="8"/>
      <c r="Q28" s="8"/>
      <c r="R28" s="15"/>
    </row>
    <row r="29" ht="13.5" customHeight="1">
      <c r="B29" s="8"/>
      <c r="C29" s="8"/>
      <c r="G29" s="8"/>
      <c r="H29" s="8"/>
      <c r="I29" s="15"/>
      <c r="K29" s="20"/>
      <c r="L29" s="15"/>
      <c r="M29" s="17"/>
      <c r="N29" s="18"/>
      <c r="O29" s="19"/>
      <c r="P29" s="8"/>
      <c r="Q29" s="8"/>
      <c r="R29" s="15"/>
    </row>
    <row r="30" ht="13.5" customHeight="1">
      <c r="B30" s="8"/>
      <c r="C30" s="8"/>
      <c r="G30" s="8"/>
      <c r="H30" s="8"/>
      <c r="I30" s="15"/>
      <c r="K30" s="20"/>
      <c r="L30" s="15"/>
      <c r="M30" s="17"/>
      <c r="N30" s="18"/>
      <c r="O30" s="19"/>
      <c r="P30" s="8"/>
      <c r="Q30" s="8"/>
      <c r="R30" s="15"/>
    </row>
    <row r="31" ht="13.5" customHeight="1">
      <c r="B31" s="8"/>
      <c r="C31" s="8"/>
      <c r="G31" s="8"/>
      <c r="H31" s="8"/>
      <c r="I31" s="15"/>
      <c r="K31" s="20"/>
      <c r="L31" s="15"/>
      <c r="M31" s="17"/>
      <c r="N31" s="18"/>
      <c r="O31" s="19"/>
      <c r="P31" s="8"/>
      <c r="Q31" s="8"/>
      <c r="R31" s="15"/>
    </row>
    <row r="32" ht="13.5" customHeight="1">
      <c r="B32" s="8"/>
      <c r="C32" s="8"/>
      <c r="G32" s="8"/>
      <c r="H32" s="8"/>
      <c r="I32" s="15"/>
      <c r="K32" s="20"/>
      <c r="L32" s="15"/>
      <c r="M32" s="17"/>
      <c r="N32" s="18"/>
      <c r="O32" s="19"/>
      <c r="P32" s="8"/>
      <c r="Q32" s="8"/>
      <c r="R32" s="15"/>
    </row>
    <row r="33" ht="13.5" customHeight="1">
      <c r="B33" s="8"/>
      <c r="C33" s="8"/>
      <c r="G33" s="8"/>
      <c r="H33" s="8"/>
      <c r="I33" s="15"/>
      <c r="K33" s="20"/>
      <c r="L33" s="15"/>
      <c r="M33" s="17"/>
      <c r="N33" s="18"/>
      <c r="O33" s="19"/>
      <c r="P33" s="8"/>
      <c r="Q33" s="8"/>
      <c r="R33" s="15"/>
    </row>
    <row r="34" ht="13.5" customHeight="1">
      <c r="B34" s="8"/>
      <c r="C34" s="8"/>
      <c r="G34" s="8"/>
      <c r="H34" s="8"/>
      <c r="I34" s="15"/>
      <c r="K34" s="20"/>
      <c r="L34" s="15"/>
      <c r="M34" s="17"/>
      <c r="N34" s="18"/>
      <c r="O34" s="19"/>
      <c r="P34" s="8"/>
      <c r="Q34" s="8"/>
      <c r="R34" s="15"/>
    </row>
    <row r="35" ht="13.5" customHeight="1">
      <c r="B35" s="8"/>
      <c r="C35" s="8"/>
      <c r="G35" s="8"/>
      <c r="H35" s="8"/>
      <c r="I35" s="15"/>
      <c r="K35" s="20"/>
      <c r="L35" s="15"/>
      <c r="M35" s="17"/>
      <c r="N35" s="18"/>
      <c r="O35" s="19"/>
      <c r="P35" s="8"/>
      <c r="Q35" s="8"/>
      <c r="R35" s="15"/>
    </row>
    <row r="36" ht="13.5" customHeight="1">
      <c r="B36" s="8"/>
      <c r="C36" s="8"/>
      <c r="G36" s="8"/>
      <c r="H36" s="8"/>
      <c r="I36" s="15"/>
      <c r="K36" s="20"/>
      <c r="L36" s="15"/>
      <c r="M36" s="17"/>
      <c r="N36" s="18"/>
      <c r="O36" s="19"/>
      <c r="P36" s="8"/>
      <c r="Q36" s="8"/>
      <c r="R36" s="15"/>
    </row>
    <row r="37" ht="13.5" customHeight="1">
      <c r="B37" s="8"/>
      <c r="C37" s="8"/>
      <c r="G37" s="8"/>
      <c r="H37" s="8"/>
      <c r="I37" s="15"/>
      <c r="K37" s="20"/>
      <c r="L37" s="15"/>
      <c r="M37" s="17"/>
      <c r="N37" s="18"/>
      <c r="O37" s="19"/>
      <c r="P37" s="8"/>
      <c r="Q37" s="8"/>
      <c r="R37" s="15"/>
    </row>
    <row r="38" ht="13.5" customHeight="1">
      <c r="B38" s="8"/>
      <c r="C38" s="8"/>
      <c r="G38" s="8"/>
      <c r="H38" s="8"/>
      <c r="I38" s="15"/>
      <c r="K38" s="20"/>
      <c r="L38" s="15"/>
      <c r="M38" s="17"/>
      <c r="N38" s="18"/>
      <c r="O38" s="19"/>
      <c r="P38" s="8"/>
      <c r="Q38" s="8"/>
      <c r="R38" s="15"/>
    </row>
    <row r="39" ht="13.5" customHeight="1">
      <c r="B39" s="8"/>
      <c r="C39" s="8"/>
      <c r="G39" s="8"/>
      <c r="H39" s="8"/>
      <c r="I39" s="15"/>
      <c r="K39" s="20"/>
      <c r="L39" s="15"/>
      <c r="M39" s="17"/>
      <c r="N39" s="18"/>
      <c r="O39" s="19"/>
      <c r="P39" s="8"/>
      <c r="Q39" s="8"/>
      <c r="R39" s="15"/>
    </row>
    <row r="40" ht="13.5" customHeight="1">
      <c r="B40" s="8"/>
      <c r="C40" s="8"/>
      <c r="G40" s="8"/>
      <c r="H40" s="8"/>
      <c r="I40" s="15"/>
      <c r="K40" s="20"/>
      <c r="L40" s="15"/>
      <c r="M40" s="17"/>
      <c r="N40" s="18"/>
      <c r="O40" s="19"/>
      <c r="P40" s="8"/>
      <c r="Q40" s="8"/>
      <c r="R40" s="15"/>
    </row>
    <row r="41" ht="13.5" customHeight="1">
      <c r="B41" s="8"/>
      <c r="C41" s="8"/>
      <c r="G41" s="8"/>
      <c r="H41" s="8"/>
      <c r="I41" s="15"/>
      <c r="K41" s="20"/>
      <c r="L41" s="15"/>
      <c r="M41" s="17"/>
      <c r="N41" s="18"/>
      <c r="O41" s="19"/>
      <c r="P41" s="8"/>
      <c r="Q41" s="8"/>
      <c r="R41" s="15"/>
    </row>
    <row r="42" ht="13.5" customHeight="1">
      <c r="B42" s="8"/>
      <c r="C42" s="8"/>
      <c r="G42" s="8"/>
      <c r="H42" s="8"/>
      <c r="I42" s="15"/>
      <c r="K42" s="20"/>
      <c r="L42" s="15"/>
      <c r="M42" s="17"/>
      <c r="N42" s="18"/>
      <c r="O42" s="19"/>
      <c r="P42" s="8"/>
      <c r="Q42" s="8"/>
      <c r="R42" s="15"/>
    </row>
    <row r="43" ht="13.5" customHeight="1">
      <c r="B43" s="8"/>
      <c r="C43" s="8"/>
      <c r="G43" s="8"/>
      <c r="H43" s="8"/>
      <c r="I43" s="15"/>
      <c r="K43" s="20"/>
      <c r="L43" s="15"/>
      <c r="M43" s="17"/>
      <c r="N43" s="18"/>
      <c r="O43" s="19"/>
      <c r="P43" s="8"/>
      <c r="Q43" s="8"/>
      <c r="R43" s="15"/>
    </row>
    <row r="44" ht="13.5" customHeight="1">
      <c r="B44" s="8"/>
      <c r="C44" s="8"/>
      <c r="G44" s="8"/>
      <c r="H44" s="8"/>
      <c r="I44" s="15"/>
      <c r="K44" s="20"/>
      <c r="L44" s="15"/>
      <c r="M44" s="17"/>
      <c r="N44" s="18"/>
      <c r="O44" s="19"/>
      <c r="P44" s="8"/>
      <c r="Q44" s="8"/>
      <c r="R44" s="15"/>
    </row>
    <row r="45" ht="13.5" customHeight="1">
      <c r="B45" s="8"/>
      <c r="C45" s="8"/>
      <c r="G45" s="8"/>
      <c r="H45" s="8"/>
      <c r="I45" s="15"/>
      <c r="K45" s="20"/>
      <c r="L45" s="15"/>
      <c r="M45" s="17"/>
      <c r="N45" s="18"/>
      <c r="O45" s="19"/>
      <c r="P45" s="8"/>
      <c r="Q45" s="8"/>
      <c r="R45" s="15"/>
    </row>
    <row r="46" ht="13.5" customHeight="1">
      <c r="B46" s="8"/>
      <c r="C46" s="8"/>
      <c r="G46" s="8"/>
      <c r="H46" s="8"/>
      <c r="I46" s="15"/>
      <c r="K46" s="20"/>
      <c r="L46" s="15"/>
      <c r="M46" s="17"/>
      <c r="N46" s="18"/>
      <c r="O46" s="19"/>
      <c r="P46" s="8"/>
      <c r="Q46" s="8"/>
      <c r="R46" s="15"/>
    </row>
    <row r="47" ht="13.5" customHeight="1">
      <c r="B47" s="8"/>
      <c r="C47" s="8"/>
      <c r="G47" s="8"/>
      <c r="H47" s="8"/>
      <c r="I47" s="15"/>
      <c r="K47" s="20"/>
      <c r="L47" s="15"/>
      <c r="M47" s="17"/>
      <c r="N47" s="18"/>
      <c r="O47" s="19"/>
      <c r="P47" s="8"/>
      <c r="Q47" s="8"/>
      <c r="R47" s="15"/>
    </row>
    <row r="48" ht="13.5" customHeight="1">
      <c r="B48" s="8"/>
      <c r="C48" s="8"/>
      <c r="G48" s="8"/>
      <c r="H48" s="8"/>
      <c r="I48" s="15"/>
      <c r="K48" s="20"/>
      <c r="L48" s="15"/>
      <c r="M48" s="17"/>
      <c r="N48" s="18"/>
      <c r="O48" s="19"/>
      <c r="P48" s="8"/>
      <c r="Q48" s="8"/>
      <c r="R48" s="15"/>
    </row>
    <row r="49" ht="13.5" customHeight="1">
      <c r="B49" s="8"/>
      <c r="C49" s="8"/>
      <c r="G49" s="8"/>
      <c r="H49" s="8"/>
      <c r="I49" s="15"/>
      <c r="K49" s="20"/>
      <c r="L49" s="15"/>
      <c r="M49" s="17"/>
      <c r="N49" s="18"/>
      <c r="O49" s="19"/>
      <c r="P49" s="8"/>
      <c r="Q49" s="8"/>
      <c r="R49" s="15"/>
    </row>
    <row r="50" ht="13.5" customHeight="1">
      <c r="B50" s="8"/>
      <c r="C50" s="8"/>
      <c r="G50" s="8"/>
      <c r="H50" s="8"/>
      <c r="I50" s="15"/>
      <c r="K50" s="20"/>
      <c r="L50" s="15"/>
      <c r="M50" s="17"/>
      <c r="N50" s="18"/>
      <c r="O50" s="19"/>
      <c r="P50" s="8"/>
      <c r="Q50" s="8"/>
      <c r="R50" s="15"/>
    </row>
    <row r="51" ht="13.5" customHeight="1">
      <c r="B51" s="8"/>
      <c r="C51" s="8"/>
      <c r="G51" s="8"/>
      <c r="H51" s="8"/>
      <c r="I51" s="15"/>
      <c r="K51" s="20"/>
      <c r="L51" s="15"/>
      <c r="M51" s="17"/>
      <c r="N51" s="18"/>
      <c r="O51" s="19"/>
      <c r="P51" s="8"/>
      <c r="Q51" s="8"/>
      <c r="R51" s="15"/>
    </row>
    <row r="52" ht="13.5" customHeight="1">
      <c r="B52" s="8"/>
      <c r="C52" s="8"/>
      <c r="G52" s="8"/>
      <c r="H52" s="8"/>
      <c r="I52" s="15"/>
      <c r="K52" s="20"/>
      <c r="L52" s="15"/>
      <c r="M52" s="17"/>
      <c r="N52" s="18"/>
      <c r="O52" s="19"/>
      <c r="P52" s="8"/>
      <c r="Q52" s="8"/>
      <c r="R52" s="15"/>
    </row>
    <row r="53" ht="13.5" customHeight="1">
      <c r="B53" s="8"/>
      <c r="C53" s="8"/>
      <c r="G53" s="8"/>
      <c r="H53" s="8"/>
      <c r="I53" s="15"/>
      <c r="K53" s="20"/>
      <c r="L53" s="15"/>
      <c r="M53" s="17"/>
      <c r="N53" s="18"/>
      <c r="O53" s="19"/>
      <c r="P53" s="8"/>
      <c r="Q53" s="8"/>
      <c r="R53" s="15"/>
    </row>
    <row r="54" ht="13.5" customHeight="1">
      <c r="B54" s="8"/>
      <c r="C54" s="8"/>
      <c r="G54" s="8"/>
      <c r="H54" s="8"/>
      <c r="I54" s="15"/>
      <c r="K54" s="20"/>
      <c r="L54" s="15"/>
      <c r="M54" s="17"/>
      <c r="N54" s="18"/>
      <c r="O54" s="19"/>
      <c r="P54" s="8"/>
      <c r="Q54" s="8"/>
      <c r="R54" s="15"/>
    </row>
    <row r="55" ht="13.5" customHeight="1">
      <c r="B55" s="8"/>
      <c r="C55" s="8"/>
      <c r="G55" s="8"/>
      <c r="H55" s="8"/>
      <c r="I55" s="15"/>
      <c r="K55" s="20"/>
      <c r="L55" s="15"/>
      <c r="M55" s="17"/>
      <c r="N55" s="18"/>
      <c r="O55" s="19"/>
      <c r="P55" s="8"/>
      <c r="Q55" s="8"/>
      <c r="R55" s="15"/>
    </row>
    <row r="56" ht="13.5" customHeight="1">
      <c r="B56" s="8"/>
      <c r="C56" s="8"/>
      <c r="G56" s="8"/>
      <c r="H56" s="8"/>
      <c r="I56" s="15"/>
      <c r="K56" s="20"/>
      <c r="L56" s="15"/>
      <c r="M56" s="17"/>
      <c r="N56" s="18"/>
      <c r="O56" s="19"/>
      <c r="P56" s="8"/>
      <c r="Q56" s="8"/>
      <c r="R56" s="15"/>
    </row>
    <row r="57" ht="13.5" customHeight="1">
      <c r="B57" s="8"/>
      <c r="C57" s="8"/>
      <c r="G57" s="8"/>
      <c r="H57" s="8"/>
      <c r="I57" s="15"/>
      <c r="K57" s="20"/>
      <c r="L57" s="15"/>
      <c r="M57" s="17"/>
      <c r="N57" s="18"/>
      <c r="O57" s="19"/>
      <c r="P57" s="8"/>
      <c r="Q57" s="8"/>
      <c r="R57" s="15"/>
    </row>
    <row r="58" ht="13.5" customHeight="1">
      <c r="B58" s="8"/>
      <c r="C58" s="8"/>
      <c r="G58" s="8"/>
      <c r="H58" s="8"/>
      <c r="I58" s="15"/>
      <c r="K58" s="20"/>
      <c r="L58" s="15"/>
      <c r="M58" s="17"/>
      <c r="N58" s="18"/>
      <c r="O58" s="19"/>
      <c r="P58" s="8"/>
      <c r="Q58" s="8"/>
      <c r="R58" s="15"/>
    </row>
    <row r="59" ht="13.5" customHeight="1">
      <c r="B59" s="8"/>
      <c r="C59" s="8"/>
      <c r="G59" s="8"/>
      <c r="H59" s="8"/>
      <c r="I59" s="15"/>
      <c r="K59" s="20"/>
      <c r="L59" s="15"/>
      <c r="M59" s="17"/>
      <c r="N59" s="18"/>
      <c r="O59" s="19"/>
      <c r="P59" s="8"/>
      <c r="Q59" s="8"/>
      <c r="R59" s="15"/>
    </row>
    <row r="60" ht="13.5" customHeight="1">
      <c r="B60" s="8"/>
      <c r="C60" s="8"/>
      <c r="G60" s="8"/>
      <c r="H60" s="8"/>
      <c r="I60" s="15"/>
      <c r="K60" s="20"/>
      <c r="L60" s="15"/>
      <c r="M60" s="17"/>
      <c r="N60" s="18"/>
      <c r="O60" s="19"/>
      <c r="P60" s="8"/>
      <c r="Q60" s="8"/>
      <c r="R60" s="15"/>
    </row>
    <row r="61" ht="13.5" customHeight="1">
      <c r="B61" s="8"/>
      <c r="C61" s="8"/>
      <c r="G61" s="8"/>
      <c r="H61" s="8"/>
      <c r="I61" s="15"/>
      <c r="K61" s="20"/>
      <c r="L61" s="15"/>
      <c r="M61" s="17"/>
      <c r="N61" s="18"/>
      <c r="O61" s="19"/>
      <c r="P61" s="8"/>
      <c r="Q61" s="8"/>
      <c r="R61" s="15"/>
    </row>
    <row r="62" ht="13.5" customHeight="1">
      <c r="B62" s="8"/>
      <c r="C62" s="8"/>
      <c r="G62" s="8"/>
      <c r="H62" s="8"/>
      <c r="I62" s="15"/>
      <c r="K62" s="20"/>
      <c r="L62" s="15"/>
      <c r="M62" s="17"/>
      <c r="N62" s="18"/>
      <c r="O62" s="19"/>
      <c r="P62" s="8"/>
      <c r="Q62" s="8"/>
      <c r="R62" s="15"/>
    </row>
    <row r="63" ht="13.5" customHeight="1">
      <c r="B63" s="8"/>
      <c r="C63" s="8"/>
      <c r="G63" s="8"/>
      <c r="H63" s="8"/>
      <c r="I63" s="15"/>
      <c r="K63" s="20"/>
      <c r="L63" s="15"/>
      <c r="M63" s="17"/>
      <c r="N63" s="18"/>
      <c r="O63" s="19"/>
      <c r="P63" s="8"/>
      <c r="Q63" s="8"/>
      <c r="R63" s="15"/>
    </row>
    <row r="64" ht="13.5" customHeight="1">
      <c r="B64" s="8"/>
      <c r="C64" s="8"/>
      <c r="G64" s="8"/>
      <c r="H64" s="8"/>
      <c r="I64" s="15"/>
      <c r="K64" s="20"/>
      <c r="L64" s="15"/>
      <c r="M64" s="17"/>
      <c r="N64" s="18"/>
      <c r="O64" s="19"/>
      <c r="P64" s="8"/>
      <c r="Q64" s="8"/>
      <c r="R64" s="15"/>
    </row>
    <row r="65" ht="13.5" customHeight="1">
      <c r="B65" s="8"/>
      <c r="C65" s="8"/>
      <c r="G65" s="8"/>
      <c r="H65" s="8"/>
      <c r="I65" s="15"/>
      <c r="K65" s="20"/>
      <c r="L65" s="15"/>
      <c r="M65" s="17"/>
      <c r="N65" s="18"/>
      <c r="O65" s="19"/>
      <c r="P65" s="8"/>
      <c r="Q65" s="8"/>
      <c r="R65" s="15"/>
    </row>
    <row r="66" ht="13.5" customHeight="1">
      <c r="B66" s="8"/>
      <c r="C66" s="8"/>
      <c r="G66" s="8"/>
      <c r="H66" s="8"/>
      <c r="I66" s="15"/>
      <c r="K66" s="20"/>
      <c r="L66" s="15"/>
      <c r="M66" s="17"/>
      <c r="N66" s="18"/>
      <c r="O66" s="19"/>
      <c r="P66" s="8"/>
      <c r="Q66" s="8"/>
      <c r="R66" s="15"/>
    </row>
    <row r="67" ht="13.5" customHeight="1">
      <c r="B67" s="8"/>
      <c r="C67" s="8"/>
      <c r="G67" s="8"/>
      <c r="H67" s="8"/>
      <c r="I67" s="15"/>
      <c r="K67" s="20"/>
      <c r="L67" s="15"/>
      <c r="M67" s="17"/>
      <c r="N67" s="18"/>
      <c r="O67" s="19"/>
      <c r="P67" s="8"/>
      <c r="Q67" s="8"/>
      <c r="R67" s="15"/>
    </row>
    <row r="68" ht="13.5" customHeight="1">
      <c r="B68" s="8"/>
      <c r="C68" s="8"/>
      <c r="G68" s="8"/>
      <c r="H68" s="8"/>
      <c r="I68" s="15"/>
      <c r="K68" s="20"/>
      <c r="L68" s="15"/>
      <c r="M68" s="17"/>
      <c r="N68" s="18"/>
      <c r="O68" s="19"/>
      <c r="P68" s="8"/>
      <c r="Q68" s="8"/>
      <c r="R68" s="15"/>
    </row>
    <row r="69" ht="13.5" customHeight="1">
      <c r="B69" s="8"/>
      <c r="C69" s="8"/>
      <c r="G69" s="8"/>
      <c r="H69" s="8"/>
      <c r="I69" s="15"/>
      <c r="K69" s="20"/>
      <c r="L69" s="15"/>
      <c r="M69" s="17"/>
      <c r="N69" s="18"/>
      <c r="O69" s="19"/>
      <c r="P69" s="8"/>
      <c r="Q69" s="8"/>
      <c r="R69" s="15"/>
    </row>
    <row r="70" ht="13.5" customHeight="1">
      <c r="B70" s="8"/>
      <c r="C70" s="8"/>
      <c r="G70" s="8"/>
      <c r="H70" s="8"/>
      <c r="I70" s="15"/>
      <c r="K70" s="20"/>
      <c r="L70" s="15"/>
      <c r="M70" s="17"/>
      <c r="N70" s="18"/>
      <c r="O70" s="19"/>
      <c r="P70" s="8"/>
      <c r="Q70" s="8"/>
      <c r="R70" s="15"/>
    </row>
    <row r="71" ht="13.5" customHeight="1">
      <c r="B71" s="8"/>
      <c r="C71" s="8"/>
      <c r="G71" s="8"/>
      <c r="H71" s="8"/>
      <c r="I71" s="15"/>
      <c r="K71" s="20"/>
      <c r="L71" s="15"/>
      <c r="M71" s="17"/>
      <c r="N71" s="18"/>
      <c r="O71" s="19"/>
      <c r="P71" s="8"/>
      <c r="Q71" s="8"/>
      <c r="R71" s="15"/>
    </row>
    <row r="72" ht="13.5" customHeight="1">
      <c r="B72" s="8"/>
      <c r="C72" s="8"/>
      <c r="G72" s="8"/>
      <c r="H72" s="8"/>
      <c r="I72" s="15"/>
      <c r="K72" s="20"/>
      <c r="L72" s="15"/>
      <c r="M72" s="17"/>
      <c r="N72" s="18"/>
      <c r="O72" s="19"/>
      <c r="P72" s="8"/>
      <c r="Q72" s="8"/>
      <c r="R72" s="15"/>
    </row>
    <row r="73" ht="13.5" customHeight="1">
      <c r="B73" s="8"/>
      <c r="C73" s="8"/>
      <c r="G73" s="8"/>
      <c r="H73" s="8"/>
      <c r="I73" s="15"/>
      <c r="K73" s="20"/>
      <c r="L73" s="15"/>
      <c r="M73" s="17"/>
      <c r="N73" s="18"/>
      <c r="O73" s="19"/>
      <c r="P73" s="8"/>
      <c r="Q73" s="8"/>
      <c r="R73" s="15"/>
    </row>
    <row r="74" ht="13.5" customHeight="1">
      <c r="B74" s="8"/>
      <c r="C74" s="8"/>
      <c r="G74" s="8"/>
      <c r="H74" s="8"/>
      <c r="I74" s="15"/>
      <c r="K74" s="20"/>
      <c r="L74" s="15"/>
      <c r="M74" s="17"/>
      <c r="N74" s="18"/>
      <c r="O74" s="19"/>
      <c r="P74" s="8"/>
      <c r="Q74" s="8"/>
      <c r="R74" s="15"/>
    </row>
    <row r="75" ht="13.5" customHeight="1">
      <c r="B75" s="8"/>
      <c r="C75" s="8"/>
      <c r="G75" s="8"/>
      <c r="H75" s="8"/>
      <c r="I75" s="15"/>
      <c r="K75" s="20"/>
      <c r="L75" s="15"/>
      <c r="M75" s="17"/>
      <c r="N75" s="18"/>
      <c r="O75" s="19"/>
      <c r="P75" s="8"/>
      <c r="Q75" s="8"/>
      <c r="R75" s="15"/>
    </row>
    <row r="76" ht="13.5" customHeight="1">
      <c r="B76" s="8"/>
      <c r="C76" s="8"/>
      <c r="G76" s="8"/>
      <c r="H76" s="8"/>
      <c r="I76" s="15"/>
      <c r="K76" s="20"/>
      <c r="L76" s="15"/>
      <c r="M76" s="17"/>
      <c r="N76" s="18"/>
      <c r="O76" s="19"/>
      <c r="P76" s="8"/>
      <c r="Q76" s="8"/>
      <c r="R76" s="15"/>
    </row>
    <row r="77" ht="13.5" customHeight="1">
      <c r="B77" s="8"/>
      <c r="C77" s="8"/>
      <c r="G77" s="8"/>
      <c r="H77" s="8"/>
      <c r="I77" s="15"/>
      <c r="K77" s="20"/>
      <c r="L77" s="15"/>
      <c r="M77" s="17"/>
      <c r="N77" s="18"/>
      <c r="O77" s="19"/>
      <c r="P77" s="8"/>
      <c r="Q77" s="8"/>
      <c r="R77" s="15"/>
    </row>
    <row r="78" ht="13.5" customHeight="1">
      <c r="B78" s="8"/>
      <c r="C78" s="8"/>
      <c r="G78" s="8"/>
      <c r="H78" s="8"/>
      <c r="I78" s="15"/>
      <c r="K78" s="20"/>
      <c r="L78" s="15"/>
      <c r="M78" s="17"/>
      <c r="N78" s="18"/>
      <c r="O78" s="19"/>
      <c r="P78" s="8"/>
      <c r="Q78" s="8"/>
      <c r="R78" s="15"/>
    </row>
    <row r="79" ht="13.5" customHeight="1">
      <c r="B79" s="8"/>
      <c r="C79" s="8"/>
      <c r="G79" s="8"/>
      <c r="H79" s="8"/>
      <c r="I79" s="15"/>
      <c r="K79" s="20"/>
      <c r="L79" s="15"/>
      <c r="M79" s="17"/>
      <c r="N79" s="18"/>
      <c r="O79" s="19"/>
      <c r="P79" s="8"/>
      <c r="Q79" s="8"/>
      <c r="R79" s="15"/>
    </row>
    <row r="80" ht="13.5" customHeight="1">
      <c r="B80" s="8"/>
      <c r="C80" s="8"/>
      <c r="G80" s="8"/>
      <c r="H80" s="8"/>
      <c r="I80" s="15"/>
      <c r="K80" s="20"/>
      <c r="L80" s="15"/>
      <c r="M80" s="17"/>
      <c r="N80" s="18"/>
      <c r="O80" s="19"/>
      <c r="P80" s="8"/>
      <c r="Q80" s="8"/>
      <c r="R80" s="15"/>
    </row>
    <row r="81" ht="13.5" customHeight="1">
      <c r="B81" s="8"/>
      <c r="C81" s="8"/>
      <c r="G81" s="8"/>
      <c r="H81" s="8"/>
      <c r="I81" s="15"/>
      <c r="K81" s="20"/>
      <c r="L81" s="15"/>
      <c r="M81" s="17"/>
      <c r="N81" s="18"/>
      <c r="O81" s="19"/>
      <c r="P81" s="8"/>
      <c r="Q81" s="8"/>
      <c r="R81" s="15"/>
    </row>
    <row r="82" ht="13.5" customHeight="1">
      <c r="B82" s="8"/>
      <c r="C82" s="8"/>
      <c r="G82" s="8"/>
      <c r="H82" s="8"/>
      <c r="I82" s="15"/>
      <c r="K82" s="20"/>
      <c r="L82" s="15"/>
      <c r="M82" s="17"/>
      <c r="N82" s="18"/>
      <c r="O82" s="19"/>
      <c r="P82" s="8"/>
      <c r="Q82" s="8"/>
      <c r="R82" s="15"/>
    </row>
    <row r="83" ht="13.5" customHeight="1">
      <c r="B83" s="8"/>
      <c r="C83" s="8"/>
      <c r="G83" s="8"/>
      <c r="H83" s="8"/>
      <c r="I83" s="15"/>
      <c r="K83" s="20"/>
      <c r="L83" s="15"/>
      <c r="M83" s="17"/>
      <c r="N83" s="18"/>
      <c r="O83" s="19"/>
      <c r="P83" s="8"/>
      <c r="Q83" s="8"/>
      <c r="R83" s="15"/>
    </row>
    <row r="84" ht="13.5" customHeight="1">
      <c r="B84" s="8"/>
      <c r="C84" s="8"/>
      <c r="G84" s="8"/>
      <c r="H84" s="8"/>
      <c r="I84" s="15"/>
      <c r="K84" s="20"/>
      <c r="L84" s="15"/>
      <c r="M84" s="17"/>
      <c r="N84" s="18"/>
      <c r="O84" s="19"/>
      <c r="P84" s="8"/>
      <c r="Q84" s="8"/>
      <c r="R84" s="15"/>
    </row>
    <row r="85" ht="13.5" customHeight="1">
      <c r="B85" s="8"/>
      <c r="C85" s="8"/>
      <c r="G85" s="8"/>
      <c r="H85" s="8"/>
      <c r="I85" s="15"/>
      <c r="K85" s="20"/>
      <c r="L85" s="15"/>
      <c r="M85" s="17"/>
      <c r="N85" s="18"/>
      <c r="O85" s="19"/>
      <c r="P85" s="8"/>
      <c r="Q85" s="8"/>
      <c r="R85" s="15"/>
    </row>
    <row r="86" ht="13.5" customHeight="1">
      <c r="B86" s="8"/>
      <c r="C86" s="8"/>
      <c r="G86" s="8"/>
      <c r="H86" s="8"/>
      <c r="I86" s="15"/>
      <c r="K86" s="20"/>
      <c r="L86" s="15"/>
      <c r="M86" s="17"/>
      <c r="N86" s="18"/>
      <c r="O86" s="19"/>
      <c r="P86" s="8"/>
      <c r="Q86" s="8"/>
      <c r="R86" s="15"/>
    </row>
    <row r="87" ht="13.5" customHeight="1">
      <c r="B87" s="8"/>
      <c r="C87" s="8"/>
      <c r="G87" s="8"/>
      <c r="H87" s="8"/>
      <c r="I87" s="15"/>
      <c r="K87" s="20"/>
      <c r="L87" s="15"/>
      <c r="M87" s="17"/>
      <c r="N87" s="18"/>
      <c r="O87" s="19"/>
      <c r="P87" s="8"/>
      <c r="Q87" s="8"/>
      <c r="R87" s="15"/>
    </row>
    <row r="88" ht="13.5" customHeight="1">
      <c r="B88" s="8"/>
      <c r="C88" s="8"/>
      <c r="G88" s="8"/>
      <c r="H88" s="8"/>
      <c r="I88" s="15"/>
      <c r="K88" s="20"/>
      <c r="L88" s="15"/>
      <c r="M88" s="17"/>
      <c r="N88" s="18"/>
      <c r="O88" s="19"/>
      <c r="P88" s="8"/>
      <c r="Q88" s="8"/>
      <c r="R88" s="15"/>
    </row>
    <row r="89" ht="13.5" customHeight="1">
      <c r="B89" s="8"/>
      <c r="C89" s="8"/>
      <c r="G89" s="8"/>
      <c r="H89" s="8"/>
      <c r="I89" s="15"/>
      <c r="K89" s="20"/>
      <c r="L89" s="15"/>
      <c r="M89" s="17"/>
      <c r="N89" s="18"/>
      <c r="O89" s="19"/>
      <c r="P89" s="8"/>
      <c r="Q89" s="8"/>
      <c r="R89" s="15"/>
    </row>
    <row r="90" ht="13.5" customHeight="1">
      <c r="B90" s="8"/>
      <c r="C90" s="8"/>
      <c r="G90" s="8"/>
      <c r="H90" s="8"/>
      <c r="I90" s="15"/>
      <c r="K90" s="20"/>
      <c r="L90" s="15"/>
      <c r="M90" s="17"/>
      <c r="N90" s="18"/>
      <c r="O90" s="19"/>
      <c r="P90" s="8"/>
      <c r="Q90" s="8"/>
      <c r="R90" s="15"/>
    </row>
    <row r="91" ht="13.5" customHeight="1">
      <c r="B91" s="8"/>
      <c r="C91" s="8"/>
      <c r="G91" s="8"/>
      <c r="H91" s="8"/>
      <c r="I91" s="15"/>
      <c r="K91" s="20"/>
      <c r="L91" s="15"/>
      <c r="M91" s="17"/>
      <c r="N91" s="18"/>
      <c r="O91" s="19"/>
      <c r="P91" s="8"/>
      <c r="Q91" s="8"/>
      <c r="R91" s="15"/>
    </row>
    <row r="92" ht="13.5" customHeight="1">
      <c r="B92" s="8"/>
      <c r="C92" s="8"/>
      <c r="G92" s="8"/>
      <c r="H92" s="8"/>
      <c r="I92" s="15"/>
      <c r="K92" s="20"/>
      <c r="L92" s="15"/>
      <c r="M92" s="17"/>
      <c r="N92" s="18"/>
      <c r="O92" s="19"/>
      <c r="P92" s="8"/>
      <c r="Q92" s="8"/>
      <c r="R92" s="15"/>
    </row>
    <row r="93" ht="13.5" customHeight="1">
      <c r="B93" s="8"/>
      <c r="C93" s="8"/>
      <c r="G93" s="8"/>
      <c r="H93" s="8"/>
      <c r="I93" s="15"/>
      <c r="K93" s="20"/>
      <c r="L93" s="15"/>
      <c r="M93" s="17"/>
      <c r="N93" s="18"/>
      <c r="O93" s="19"/>
      <c r="P93" s="8"/>
      <c r="Q93" s="8"/>
      <c r="R93" s="15"/>
    </row>
    <row r="94" ht="13.5" customHeight="1">
      <c r="B94" s="8"/>
      <c r="C94" s="8"/>
      <c r="G94" s="8"/>
      <c r="H94" s="8"/>
      <c r="I94" s="15"/>
      <c r="K94" s="20"/>
      <c r="L94" s="15"/>
      <c r="M94" s="17"/>
      <c r="N94" s="18"/>
      <c r="O94" s="19"/>
      <c r="P94" s="8"/>
      <c r="Q94" s="8"/>
      <c r="R94" s="15"/>
    </row>
    <row r="95" ht="13.5" customHeight="1">
      <c r="B95" s="8"/>
      <c r="C95" s="8"/>
      <c r="G95" s="8"/>
      <c r="H95" s="8"/>
      <c r="I95" s="15"/>
      <c r="K95" s="20"/>
      <c r="L95" s="15"/>
      <c r="M95" s="17"/>
      <c r="N95" s="18"/>
      <c r="O95" s="19"/>
      <c r="P95" s="8"/>
      <c r="Q95" s="8"/>
      <c r="R95" s="15"/>
    </row>
    <row r="96" ht="13.5" customHeight="1">
      <c r="B96" s="8"/>
      <c r="C96" s="8"/>
      <c r="G96" s="8"/>
      <c r="H96" s="8"/>
      <c r="I96" s="15"/>
      <c r="K96" s="20"/>
      <c r="L96" s="15"/>
      <c r="M96" s="17"/>
      <c r="N96" s="18"/>
      <c r="O96" s="19"/>
      <c r="P96" s="8"/>
      <c r="Q96" s="8"/>
      <c r="R96" s="15"/>
    </row>
    <row r="97" ht="13.5" customHeight="1">
      <c r="B97" s="8"/>
      <c r="C97" s="8"/>
      <c r="G97" s="8"/>
      <c r="H97" s="8"/>
      <c r="I97" s="15"/>
      <c r="K97" s="20"/>
      <c r="L97" s="15"/>
      <c r="M97" s="17"/>
      <c r="N97" s="18"/>
      <c r="O97" s="19"/>
      <c r="P97" s="8"/>
      <c r="Q97" s="8"/>
      <c r="R97" s="15"/>
    </row>
    <row r="98" ht="13.5" customHeight="1">
      <c r="B98" s="8"/>
      <c r="C98" s="8"/>
      <c r="G98" s="8"/>
      <c r="H98" s="8"/>
      <c r="I98" s="15"/>
      <c r="K98" s="20"/>
      <c r="L98" s="15"/>
      <c r="M98" s="17"/>
      <c r="N98" s="18"/>
      <c r="O98" s="19"/>
      <c r="P98" s="8"/>
      <c r="Q98" s="8"/>
      <c r="R98" s="15"/>
    </row>
    <row r="99" ht="13.5" customHeight="1">
      <c r="B99" s="8"/>
      <c r="C99" s="8"/>
      <c r="G99" s="8"/>
      <c r="H99" s="8"/>
      <c r="I99" s="15"/>
      <c r="K99" s="20"/>
      <c r="L99" s="15"/>
      <c r="M99" s="17"/>
      <c r="N99" s="18"/>
      <c r="O99" s="19"/>
      <c r="P99" s="8"/>
      <c r="Q99" s="8"/>
      <c r="R99" s="15"/>
    </row>
    <row r="100" ht="13.5" customHeight="1">
      <c r="B100" s="8"/>
      <c r="C100" s="8"/>
      <c r="G100" s="8"/>
      <c r="H100" s="8"/>
      <c r="I100" s="15"/>
      <c r="K100" s="20"/>
      <c r="L100" s="15"/>
      <c r="M100" s="17"/>
      <c r="N100" s="18"/>
      <c r="O100" s="19"/>
      <c r="P100" s="8"/>
      <c r="Q100" s="8"/>
      <c r="R100" s="15"/>
    </row>
    <row r="101" ht="13.5" customHeight="1">
      <c r="B101" s="8"/>
      <c r="C101" s="8"/>
      <c r="G101" s="8"/>
      <c r="H101" s="8"/>
      <c r="I101" s="15"/>
      <c r="K101" s="20"/>
      <c r="L101" s="15"/>
      <c r="M101" s="17"/>
      <c r="N101" s="18"/>
      <c r="O101" s="19"/>
      <c r="P101" s="8"/>
      <c r="Q101" s="8"/>
      <c r="R101" s="15"/>
    </row>
    <row r="102" ht="13.5" customHeight="1">
      <c r="B102" s="8"/>
      <c r="C102" s="8"/>
      <c r="G102" s="8"/>
      <c r="H102" s="8"/>
      <c r="I102" s="15"/>
      <c r="K102" s="20"/>
      <c r="L102" s="15"/>
      <c r="M102" s="17"/>
      <c r="N102" s="18"/>
      <c r="O102" s="19"/>
      <c r="P102" s="8"/>
      <c r="Q102" s="8"/>
      <c r="R102" s="15"/>
    </row>
    <row r="103" ht="13.5" customHeight="1">
      <c r="B103" s="8"/>
      <c r="C103" s="8"/>
      <c r="G103" s="8"/>
      <c r="H103" s="8"/>
      <c r="I103" s="15"/>
      <c r="K103" s="20"/>
      <c r="L103" s="15"/>
      <c r="M103" s="17"/>
      <c r="N103" s="18"/>
      <c r="O103" s="19"/>
      <c r="P103" s="8"/>
      <c r="Q103" s="8"/>
      <c r="R103" s="15"/>
    </row>
    <row r="104" ht="13.5" customHeight="1">
      <c r="B104" s="8"/>
      <c r="C104" s="8"/>
      <c r="G104" s="8"/>
      <c r="H104" s="8"/>
      <c r="I104" s="15"/>
      <c r="K104" s="20"/>
      <c r="L104" s="15"/>
      <c r="M104" s="17"/>
      <c r="N104" s="18"/>
      <c r="O104" s="19"/>
      <c r="P104" s="8"/>
      <c r="Q104" s="8"/>
      <c r="R104" s="15"/>
    </row>
    <row r="105" ht="13.5" customHeight="1">
      <c r="B105" s="8"/>
      <c r="C105" s="8"/>
      <c r="G105" s="8"/>
      <c r="H105" s="8"/>
      <c r="I105" s="15"/>
      <c r="K105" s="20"/>
      <c r="L105" s="15"/>
      <c r="M105" s="17"/>
      <c r="N105" s="18"/>
      <c r="O105" s="19"/>
      <c r="P105" s="8"/>
      <c r="Q105" s="8"/>
      <c r="R105" s="15"/>
    </row>
    <row r="106" ht="13.5" customHeight="1">
      <c r="B106" s="8"/>
      <c r="C106" s="8"/>
      <c r="G106" s="8"/>
      <c r="H106" s="8"/>
      <c r="I106" s="15"/>
      <c r="K106" s="20"/>
      <c r="L106" s="15"/>
      <c r="M106" s="17"/>
      <c r="N106" s="18"/>
      <c r="O106" s="19"/>
      <c r="P106" s="8"/>
      <c r="Q106" s="8"/>
      <c r="R106" s="15"/>
    </row>
    <row r="107" ht="13.5" customHeight="1">
      <c r="B107" s="8"/>
      <c r="C107" s="8"/>
      <c r="G107" s="8"/>
      <c r="H107" s="8"/>
      <c r="I107" s="15"/>
      <c r="K107" s="20"/>
      <c r="L107" s="15"/>
      <c r="M107" s="17"/>
      <c r="N107" s="18"/>
      <c r="O107" s="19"/>
      <c r="P107" s="8"/>
      <c r="Q107" s="8"/>
      <c r="R107" s="15"/>
    </row>
    <row r="108" ht="13.5" customHeight="1">
      <c r="B108" s="8"/>
      <c r="C108" s="8"/>
      <c r="G108" s="8"/>
      <c r="H108" s="8"/>
      <c r="I108" s="15"/>
      <c r="K108" s="20"/>
      <c r="L108" s="15"/>
      <c r="M108" s="17"/>
      <c r="N108" s="18"/>
      <c r="O108" s="19"/>
      <c r="P108" s="8"/>
      <c r="Q108" s="8"/>
      <c r="R108" s="15"/>
    </row>
    <row r="109" ht="13.5" customHeight="1">
      <c r="B109" s="8"/>
      <c r="C109" s="8"/>
      <c r="G109" s="8"/>
      <c r="H109" s="8"/>
      <c r="I109" s="15"/>
      <c r="K109" s="20"/>
      <c r="L109" s="15"/>
      <c r="M109" s="17"/>
      <c r="N109" s="18"/>
      <c r="O109" s="19"/>
      <c r="P109" s="8"/>
      <c r="Q109" s="8"/>
      <c r="R109" s="15"/>
    </row>
    <row r="110" ht="13.5" customHeight="1">
      <c r="B110" s="8"/>
      <c r="C110" s="8"/>
      <c r="G110" s="8"/>
      <c r="H110" s="8"/>
      <c r="I110" s="15"/>
      <c r="K110" s="20"/>
      <c r="L110" s="15"/>
      <c r="M110" s="17"/>
      <c r="N110" s="18"/>
      <c r="O110" s="19"/>
      <c r="P110" s="8"/>
      <c r="Q110" s="8"/>
      <c r="R110" s="15"/>
    </row>
    <row r="111" ht="13.5" customHeight="1">
      <c r="B111" s="8"/>
      <c r="C111" s="8"/>
      <c r="G111" s="8"/>
      <c r="H111" s="8"/>
      <c r="I111" s="15"/>
      <c r="K111" s="20"/>
      <c r="L111" s="15"/>
      <c r="M111" s="17"/>
      <c r="N111" s="18"/>
      <c r="O111" s="19"/>
      <c r="P111" s="8"/>
      <c r="Q111" s="8"/>
      <c r="R111" s="15"/>
    </row>
    <row r="112" ht="13.5" customHeight="1">
      <c r="B112" s="8"/>
      <c r="C112" s="8"/>
      <c r="G112" s="8"/>
      <c r="H112" s="8"/>
      <c r="I112" s="15"/>
      <c r="K112" s="20"/>
      <c r="L112" s="15"/>
      <c r="M112" s="17"/>
      <c r="N112" s="18"/>
      <c r="O112" s="19"/>
      <c r="P112" s="8"/>
      <c r="Q112" s="8"/>
      <c r="R112" s="15"/>
    </row>
    <row r="113" ht="13.5" customHeight="1">
      <c r="B113" s="8"/>
      <c r="C113" s="8"/>
      <c r="G113" s="8"/>
      <c r="H113" s="8"/>
      <c r="I113" s="15"/>
      <c r="K113" s="20"/>
      <c r="L113" s="15"/>
      <c r="M113" s="17"/>
      <c r="N113" s="18"/>
      <c r="O113" s="19"/>
      <c r="P113" s="8"/>
      <c r="Q113" s="8"/>
      <c r="R113" s="15"/>
    </row>
    <row r="114" ht="13.5" customHeight="1">
      <c r="B114" s="8"/>
      <c r="C114" s="8"/>
      <c r="G114" s="8"/>
      <c r="H114" s="8"/>
      <c r="I114" s="15"/>
      <c r="K114" s="20"/>
      <c r="L114" s="15"/>
      <c r="M114" s="17"/>
      <c r="N114" s="18"/>
      <c r="O114" s="19"/>
      <c r="P114" s="8"/>
      <c r="Q114" s="8"/>
      <c r="R114" s="15"/>
    </row>
    <row r="115" ht="13.5" customHeight="1">
      <c r="B115" s="8"/>
      <c r="C115" s="8"/>
      <c r="G115" s="8"/>
      <c r="H115" s="8"/>
      <c r="I115" s="15"/>
      <c r="K115" s="20"/>
      <c r="L115" s="15"/>
      <c r="M115" s="17"/>
      <c r="N115" s="18"/>
      <c r="O115" s="19"/>
      <c r="P115" s="8"/>
      <c r="Q115" s="8"/>
      <c r="R115" s="15"/>
    </row>
    <row r="116" ht="13.5" customHeight="1">
      <c r="B116" s="8"/>
      <c r="C116" s="8"/>
      <c r="G116" s="8"/>
      <c r="H116" s="8"/>
      <c r="I116" s="15"/>
      <c r="K116" s="20"/>
      <c r="L116" s="15"/>
      <c r="M116" s="17"/>
      <c r="N116" s="18"/>
      <c r="O116" s="19"/>
      <c r="P116" s="8"/>
      <c r="Q116" s="8"/>
      <c r="R116" s="15"/>
    </row>
    <row r="117" ht="13.5" customHeight="1">
      <c r="B117" s="8"/>
      <c r="C117" s="8"/>
      <c r="G117" s="8"/>
      <c r="H117" s="8"/>
      <c r="I117" s="15"/>
      <c r="K117" s="20"/>
      <c r="L117" s="15"/>
      <c r="M117" s="17"/>
      <c r="N117" s="18"/>
      <c r="O117" s="19"/>
      <c r="P117" s="8"/>
      <c r="Q117" s="8"/>
      <c r="R117" s="15"/>
    </row>
    <row r="118" ht="13.5" customHeight="1">
      <c r="B118" s="8"/>
      <c r="C118" s="8"/>
      <c r="G118" s="8"/>
      <c r="H118" s="8"/>
      <c r="I118" s="15"/>
      <c r="K118" s="20"/>
      <c r="L118" s="15"/>
      <c r="M118" s="17"/>
      <c r="N118" s="18"/>
      <c r="O118" s="19"/>
      <c r="P118" s="8"/>
      <c r="Q118" s="8"/>
      <c r="R118" s="15"/>
    </row>
    <row r="119" ht="13.5" customHeight="1">
      <c r="B119" s="8"/>
      <c r="C119" s="8"/>
      <c r="G119" s="8"/>
      <c r="H119" s="8"/>
      <c r="I119" s="15"/>
      <c r="K119" s="20"/>
      <c r="L119" s="15"/>
      <c r="M119" s="17"/>
      <c r="N119" s="18"/>
      <c r="O119" s="19"/>
      <c r="P119" s="8"/>
      <c r="Q119" s="8"/>
      <c r="R119" s="15"/>
    </row>
    <row r="120" ht="13.5" customHeight="1">
      <c r="B120" s="8"/>
      <c r="C120" s="8"/>
      <c r="G120" s="8"/>
      <c r="H120" s="8"/>
      <c r="I120" s="15"/>
      <c r="K120" s="20"/>
      <c r="L120" s="15"/>
      <c r="M120" s="17"/>
      <c r="N120" s="18"/>
      <c r="O120" s="19"/>
      <c r="P120" s="8"/>
      <c r="Q120" s="8"/>
      <c r="R120" s="15"/>
    </row>
    <row r="121" ht="13.5" customHeight="1">
      <c r="B121" s="8"/>
      <c r="C121" s="8"/>
      <c r="G121" s="8"/>
      <c r="H121" s="8"/>
      <c r="I121" s="15"/>
      <c r="K121" s="20"/>
      <c r="L121" s="15"/>
      <c r="M121" s="17"/>
      <c r="N121" s="18"/>
      <c r="O121" s="19"/>
      <c r="P121" s="8"/>
      <c r="Q121" s="8"/>
      <c r="R121" s="15"/>
    </row>
    <row r="122" ht="13.5" customHeight="1">
      <c r="B122" s="8"/>
      <c r="C122" s="8"/>
      <c r="G122" s="8"/>
      <c r="H122" s="8"/>
      <c r="I122" s="15"/>
      <c r="K122" s="20"/>
      <c r="L122" s="15"/>
      <c r="M122" s="17"/>
      <c r="N122" s="18"/>
      <c r="O122" s="19"/>
      <c r="P122" s="8"/>
      <c r="Q122" s="8"/>
      <c r="R122" s="15"/>
    </row>
    <row r="123" ht="13.5" customHeight="1">
      <c r="B123" s="8"/>
      <c r="C123" s="8"/>
      <c r="G123" s="8"/>
      <c r="H123" s="8"/>
      <c r="I123" s="15"/>
      <c r="K123" s="20"/>
      <c r="L123" s="15"/>
      <c r="M123" s="17"/>
      <c r="N123" s="18"/>
      <c r="O123" s="19"/>
      <c r="P123" s="8"/>
      <c r="Q123" s="8"/>
      <c r="R123" s="15"/>
    </row>
    <row r="124" ht="13.5" customHeight="1">
      <c r="B124" s="8"/>
      <c r="C124" s="8"/>
      <c r="G124" s="8"/>
      <c r="H124" s="8"/>
      <c r="I124" s="15"/>
      <c r="K124" s="20"/>
      <c r="L124" s="15"/>
      <c r="M124" s="17"/>
      <c r="N124" s="18"/>
      <c r="O124" s="19"/>
      <c r="P124" s="8"/>
      <c r="Q124" s="8"/>
      <c r="R124" s="15"/>
    </row>
    <row r="125" ht="13.5" customHeight="1">
      <c r="B125" s="8"/>
      <c r="C125" s="8"/>
      <c r="G125" s="8"/>
      <c r="H125" s="8"/>
      <c r="I125" s="15"/>
      <c r="K125" s="20"/>
      <c r="L125" s="15"/>
      <c r="M125" s="17"/>
      <c r="N125" s="18"/>
      <c r="O125" s="19"/>
      <c r="P125" s="8"/>
      <c r="Q125" s="8"/>
      <c r="R125" s="15"/>
    </row>
    <row r="126" ht="13.5" customHeight="1">
      <c r="B126" s="8"/>
      <c r="C126" s="8"/>
      <c r="G126" s="8"/>
      <c r="H126" s="8"/>
      <c r="I126" s="15"/>
      <c r="K126" s="20"/>
      <c r="L126" s="15"/>
      <c r="M126" s="17"/>
      <c r="N126" s="18"/>
      <c r="O126" s="19"/>
      <c r="P126" s="8"/>
      <c r="Q126" s="8"/>
      <c r="R126" s="15"/>
    </row>
    <row r="127" ht="13.5" customHeight="1">
      <c r="B127" s="8"/>
      <c r="C127" s="8"/>
      <c r="G127" s="8"/>
      <c r="H127" s="8"/>
      <c r="I127" s="15"/>
      <c r="K127" s="20"/>
      <c r="L127" s="15"/>
      <c r="M127" s="17"/>
      <c r="N127" s="18"/>
      <c r="O127" s="19"/>
      <c r="P127" s="8"/>
      <c r="Q127" s="8"/>
      <c r="R127" s="15"/>
    </row>
    <row r="128" ht="13.5" customHeight="1">
      <c r="B128" s="8"/>
      <c r="C128" s="8"/>
      <c r="G128" s="8"/>
      <c r="H128" s="8"/>
      <c r="I128" s="15"/>
      <c r="K128" s="20"/>
      <c r="L128" s="15"/>
      <c r="M128" s="17"/>
      <c r="N128" s="18"/>
      <c r="O128" s="19"/>
      <c r="P128" s="8"/>
      <c r="Q128" s="8"/>
      <c r="R128" s="15"/>
    </row>
    <row r="129" ht="13.5" customHeight="1">
      <c r="B129" s="8"/>
      <c r="C129" s="8"/>
      <c r="G129" s="8"/>
      <c r="H129" s="8"/>
      <c r="I129" s="15"/>
      <c r="K129" s="20"/>
      <c r="L129" s="15"/>
      <c r="M129" s="17"/>
      <c r="N129" s="18"/>
      <c r="O129" s="19"/>
      <c r="P129" s="8"/>
      <c r="Q129" s="8"/>
      <c r="R129" s="15"/>
    </row>
    <row r="130" ht="13.5" customHeight="1">
      <c r="B130" s="8"/>
      <c r="C130" s="8"/>
      <c r="G130" s="8"/>
      <c r="H130" s="8"/>
      <c r="I130" s="15"/>
      <c r="K130" s="20"/>
      <c r="L130" s="15"/>
      <c r="M130" s="17"/>
      <c r="N130" s="18"/>
      <c r="O130" s="19"/>
      <c r="P130" s="8"/>
      <c r="Q130" s="8"/>
      <c r="R130" s="15"/>
    </row>
    <row r="131" ht="13.5" customHeight="1">
      <c r="B131" s="8"/>
      <c r="C131" s="8"/>
      <c r="G131" s="8"/>
      <c r="H131" s="8"/>
      <c r="I131" s="15"/>
      <c r="K131" s="20"/>
      <c r="L131" s="15"/>
      <c r="M131" s="17"/>
      <c r="N131" s="18"/>
      <c r="O131" s="19"/>
      <c r="P131" s="8"/>
      <c r="Q131" s="8"/>
      <c r="R131" s="15"/>
    </row>
    <row r="132" ht="13.5" customHeight="1">
      <c r="B132" s="8"/>
      <c r="C132" s="8"/>
      <c r="G132" s="8"/>
      <c r="H132" s="8"/>
      <c r="I132" s="15"/>
      <c r="K132" s="20"/>
      <c r="L132" s="15"/>
      <c r="M132" s="17"/>
      <c r="N132" s="18"/>
      <c r="O132" s="19"/>
      <c r="P132" s="8"/>
      <c r="Q132" s="8"/>
      <c r="R132" s="15"/>
    </row>
    <row r="133" ht="13.5" customHeight="1">
      <c r="B133" s="8"/>
      <c r="C133" s="8"/>
      <c r="G133" s="8"/>
      <c r="H133" s="8"/>
      <c r="I133" s="15"/>
      <c r="K133" s="20"/>
      <c r="L133" s="15"/>
      <c r="M133" s="17"/>
      <c r="N133" s="18"/>
      <c r="O133" s="19"/>
      <c r="P133" s="8"/>
      <c r="Q133" s="8"/>
      <c r="R133" s="15"/>
    </row>
    <row r="134" ht="13.5" customHeight="1">
      <c r="B134" s="8"/>
      <c r="C134" s="8"/>
      <c r="G134" s="8"/>
      <c r="H134" s="8"/>
      <c r="I134" s="15"/>
      <c r="K134" s="20"/>
      <c r="L134" s="15"/>
      <c r="M134" s="17"/>
      <c r="N134" s="18"/>
      <c r="O134" s="19"/>
      <c r="P134" s="8"/>
      <c r="Q134" s="8"/>
      <c r="R134" s="15"/>
    </row>
    <row r="135" ht="13.5" customHeight="1">
      <c r="B135" s="8"/>
      <c r="C135" s="8"/>
      <c r="G135" s="8"/>
      <c r="H135" s="8"/>
      <c r="I135" s="15"/>
      <c r="K135" s="20"/>
      <c r="L135" s="15"/>
      <c r="M135" s="17"/>
      <c r="N135" s="18"/>
      <c r="O135" s="19"/>
      <c r="P135" s="8"/>
      <c r="Q135" s="8"/>
      <c r="R135" s="15"/>
    </row>
    <row r="136" ht="13.5" customHeight="1">
      <c r="B136" s="8"/>
      <c r="C136" s="8"/>
      <c r="G136" s="8"/>
      <c r="H136" s="8"/>
      <c r="I136" s="15"/>
      <c r="K136" s="20"/>
      <c r="L136" s="15"/>
      <c r="M136" s="17"/>
      <c r="N136" s="18"/>
      <c r="O136" s="19"/>
      <c r="P136" s="8"/>
      <c r="Q136" s="8"/>
      <c r="R136" s="15"/>
    </row>
    <row r="137" ht="13.5" customHeight="1">
      <c r="B137" s="8"/>
      <c r="C137" s="8"/>
      <c r="G137" s="8"/>
      <c r="H137" s="8"/>
      <c r="I137" s="15"/>
      <c r="K137" s="20"/>
      <c r="L137" s="15"/>
      <c r="M137" s="17"/>
      <c r="N137" s="18"/>
      <c r="O137" s="19"/>
      <c r="P137" s="8"/>
      <c r="Q137" s="8"/>
      <c r="R137" s="15"/>
    </row>
    <row r="138" ht="13.5" customHeight="1">
      <c r="B138" s="8"/>
      <c r="C138" s="8"/>
      <c r="G138" s="8"/>
      <c r="H138" s="8"/>
      <c r="I138" s="15"/>
      <c r="K138" s="20"/>
      <c r="L138" s="15"/>
      <c r="M138" s="17"/>
      <c r="N138" s="18"/>
      <c r="O138" s="19"/>
      <c r="P138" s="8"/>
      <c r="Q138" s="8"/>
      <c r="R138" s="15"/>
    </row>
    <row r="139" ht="13.5" customHeight="1">
      <c r="B139" s="8"/>
      <c r="C139" s="8"/>
      <c r="G139" s="8"/>
      <c r="H139" s="8"/>
      <c r="I139" s="15"/>
      <c r="K139" s="20"/>
      <c r="L139" s="15"/>
      <c r="M139" s="17"/>
      <c r="N139" s="18"/>
      <c r="O139" s="19"/>
      <c r="P139" s="8"/>
      <c r="Q139" s="8"/>
      <c r="R139" s="15"/>
    </row>
    <row r="140" ht="13.5" customHeight="1">
      <c r="B140" s="8"/>
      <c r="C140" s="8"/>
      <c r="G140" s="8"/>
      <c r="H140" s="8"/>
      <c r="I140" s="15"/>
      <c r="K140" s="20"/>
      <c r="L140" s="15"/>
      <c r="M140" s="17"/>
      <c r="N140" s="18"/>
      <c r="O140" s="19"/>
      <c r="P140" s="8"/>
      <c r="Q140" s="8"/>
      <c r="R140" s="15"/>
    </row>
    <row r="141" ht="13.5" customHeight="1">
      <c r="B141" s="8"/>
      <c r="C141" s="8"/>
      <c r="G141" s="8"/>
      <c r="H141" s="8"/>
      <c r="I141" s="15"/>
      <c r="K141" s="20"/>
      <c r="L141" s="15"/>
      <c r="M141" s="17"/>
      <c r="N141" s="18"/>
      <c r="O141" s="19"/>
      <c r="P141" s="8"/>
      <c r="Q141" s="8"/>
      <c r="R141" s="15"/>
    </row>
    <row r="142" ht="13.5" customHeight="1">
      <c r="B142" s="8"/>
      <c r="C142" s="8"/>
      <c r="G142" s="8"/>
      <c r="H142" s="8"/>
      <c r="I142" s="15"/>
      <c r="K142" s="20"/>
      <c r="L142" s="15"/>
      <c r="M142" s="17"/>
      <c r="N142" s="18"/>
      <c r="O142" s="19"/>
      <c r="P142" s="8"/>
      <c r="Q142" s="8"/>
      <c r="R142" s="15"/>
    </row>
    <row r="143" ht="13.5" customHeight="1">
      <c r="B143" s="8"/>
      <c r="C143" s="8"/>
      <c r="G143" s="8"/>
      <c r="H143" s="8"/>
      <c r="I143" s="15"/>
      <c r="K143" s="20"/>
      <c r="L143" s="15"/>
      <c r="M143" s="17"/>
      <c r="N143" s="18"/>
      <c r="O143" s="19"/>
      <c r="P143" s="8"/>
      <c r="Q143" s="8"/>
      <c r="R143" s="15"/>
    </row>
    <row r="144" ht="13.5" customHeight="1">
      <c r="B144" s="8"/>
      <c r="C144" s="8"/>
      <c r="G144" s="8"/>
      <c r="H144" s="8"/>
      <c r="I144" s="15"/>
      <c r="K144" s="20"/>
      <c r="L144" s="15"/>
      <c r="M144" s="17"/>
      <c r="N144" s="18"/>
      <c r="O144" s="19"/>
      <c r="P144" s="8"/>
      <c r="Q144" s="8"/>
      <c r="R144" s="15"/>
    </row>
    <row r="145" ht="13.5" customHeight="1">
      <c r="B145" s="8"/>
      <c r="C145" s="8"/>
      <c r="G145" s="8"/>
      <c r="H145" s="8"/>
      <c r="I145" s="15"/>
      <c r="K145" s="20"/>
      <c r="L145" s="15"/>
      <c r="M145" s="17"/>
      <c r="N145" s="18"/>
      <c r="O145" s="19"/>
      <c r="P145" s="8"/>
      <c r="Q145" s="8"/>
      <c r="R145" s="15"/>
    </row>
    <row r="146" ht="13.5" customHeight="1">
      <c r="B146" s="8"/>
      <c r="C146" s="8"/>
      <c r="G146" s="8"/>
      <c r="H146" s="8"/>
      <c r="I146" s="15"/>
      <c r="K146" s="20"/>
      <c r="L146" s="15"/>
      <c r="M146" s="17"/>
      <c r="N146" s="18"/>
      <c r="O146" s="19"/>
      <c r="P146" s="8"/>
      <c r="Q146" s="8"/>
      <c r="R146" s="15"/>
    </row>
    <row r="147" ht="13.5" customHeight="1">
      <c r="B147" s="8"/>
      <c r="C147" s="8"/>
      <c r="G147" s="8"/>
      <c r="H147" s="8"/>
      <c r="I147" s="15"/>
      <c r="K147" s="20"/>
      <c r="L147" s="15"/>
      <c r="M147" s="17"/>
      <c r="N147" s="18"/>
      <c r="O147" s="19"/>
      <c r="P147" s="8"/>
      <c r="Q147" s="8"/>
      <c r="R147" s="15"/>
    </row>
    <row r="148" ht="13.5" customHeight="1">
      <c r="B148" s="8"/>
      <c r="C148" s="8"/>
      <c r="G148" s="8"/>
      <c r="H148" s="8"/>
      <c r="I148" s="15"/>
      <c r="K148" s="20"/>
      <c r="L148" s="15"/>
      <c r="M148" s="17"/>
      <c r="N148" s="18"/>
      <c r="O148" s="19"/>
      <c r="P148" s="8"/>
      <c r="Q148" s="8"/>
      <c r="R148" s="15"/>
    </row>
    <row r="149" ht="13.5" customHeight="1">
      <c r="B149" s="8"/>
      <c r="C149" s="8"/>
      <c r="G149" s="8"/>
      <c r="H149" s="8"/>
      <c r="I149" s="15"/>
      <c r="K149" s="20"/>
      <c r="L149" s="15"/>
      <c r="M149" s="17"/>
      <c r="N149" s="18"/>
      <c r="O149" s="19"/>
      <c r="P149" s="8"/>
      <c r="Q149" s="8"/>
      <c r="R149" s="15"/>
    </row>
    <row r="150" ht="13.5" customHeight="1">
      <c r="B150" s="8"/>
      <c r="C150" s="8"/>
      <c r="G150" s="8"/>
      <c r="H150" s="8"/>
      <c r="I150" s="15"/>
      <c r="K150" s="20"/>
      <c r="L150" s="15"/>
      <c r="M150" s="17"/>
      <c r="N150" s="18"/>
      <c r="O150" s="19"/>
      <c r="P150" s="8"/>
      <c r="Q150" s="8"/>
      <c r="R150" s="15"/>
    </row>
    <row r="151" ht="13.5" customHeight="1">
      <c r="B151" s="8"/>
      <c r="C151" s="8"/>
      <c r="G151" s="8"/>
      <c r="H151" s="8"/>
      <c r="I151" s="15"/>
      <c r="K151" s="20"/>
      <c r="L151" s="15"/>
      <c r="M151" s="17"/>
      <c r="N151" s="18"/>
      <c r="O151" s="19"/>
      <c r="P151" s="8"/>
      <c r="Q151" s="8"/>
      <c r="R151" s="15"/>
    </row>
    <row r="152" ht="13.5" customHeight="1">
      <c r="B152" s="8"/>
      <c r="C152" s="8"/>
      <c r="G152" s="8"/>
      <c r="H152" s="8"/>
      <c r="I152" s="15"/>
      <c r="K152" s="20"/>
      <c r="L152" s="15"/>
      <c r="M152" s="17"/>
      <c r="N152" s="18"/>
      <c r="O152" s="19"/>
      <c r="P152" s="8"/>
      <c r="Q152" s="8"/>
      <c r="R152" s="15"/>
    </row>
    <row r="153" ht="13.5" customHeight="1">
      <c r="B153" s="8"/>
      <c r="C153" s="8"/>
      <c r="G153" s="8"/>
      <c r="H153" s="8"/>
      <c r="I153" s="15"/>
      <c r="K153" s="20"/>
      <c r="L153" s="15"/>
      <c r="M153" s="17"/>
      <c r="N153" s="18"/>
      <c r="O153" s="19"/>
      <c r="P153" s="8"/>
      <c r="Q153" s="8"/>
      <c r="R153" s="15"/>
    </row>
    <row r="154" ht="13.5" customHeight="1">
      <c r="B154" s="8"/>
      <c r="C154" s="8"/>
      <c r="G154" s="8"/>
      <c r="H154" s="8"/>
      <c r="I154" s="15"/>
      <c r="K154" s="20"/>
      <c r="L154" s="15"/>
      <c r="M154" s="17"/>
      <c r="N154" s="18"/>
      <c r="O154" s="19"/>
      <c r="P154" s="8"/>
      <c r="Q154" s="8"/>
      <c r="R154" s="15"/>
    </row>
    <row r="155" ht="13.5" customHeight="1">
      <c r="B155" s="8"/>
      <c r="C155" s="8"/>
      <c r="G155" s="8"/>
      <c r="H155" s="8"/>
      <c r="I155" s="15"/>
      <c r="K155" s="20"/>
      <c r="L155" s="15"/>
      <c r="M155" s="17"/>
      <c r="N155" s="18"/>
      <c r="O155" s="19"/>
      <c r="P155" s="8"/>
      <c r="Q155" s="8"/>
      <c r="R155" s="15"/>
    </row>
    <row r="156" ht="13.5" customHeight="1">
      <c r="B156" s="8"/>
      <c r="C156" s="8"/>
      <c r="G156" s="8"/>
      <c r="H156" s="8"/>
      <c r="I156" s="15"/>
      <c r="K156" s="20"/>
      <c r="L156" s="15"/>
      <c r="M156" s="17"/>
      <c r="N156" s="18"/>
      <c r="O156" s="19"/>
      <c r="P156" s="8"/>
      <c r="Q156" s="8"/>
      <c r="R156" s="15"/>
    </row>
    <row r="157" ht="13.5" customHeight="1">
      <c r="B157" s="8"/>
      <c r="C157" s="8"/>
      <c r="G157" s="8"/>
      <c r="H157" s="8"/>
      <c r="I157" s="15"/>
      <c r="K157" s="20"/>
      <c r="L157" s="15"/>
      <c r="M157" s="17"/>
      <c r="N157" s="18"/>
      <c r="O157" s="19"/>
      <c r="P157" s="8"/>
      <c r="Q157" s="8"/>
      <c r="R157" s="15"/>
    </row>
    <row r="158" ht="13.5" customHeight="1">
      <c r="B158" s="8"/>
      <c r="C158" s="8"/>
      <c r="G158" s="8"/>
      <c r="H158" s="8"/>
      <c r="I158" s="15"/>
      <c r="K158" s="20"/>
      <c r="L158" s="15"/>
      <c r="M158" s="17"/>
      <c r="N158" s="18"/>
      <c r="O158" s="19"/>
      <c r="P158" s="8"/>
      <c r="Q158" s="8"/>
      <c r="R158" s="15"/>
    </row>
    <row r="159" ht="13.5" customHeight="1">
      <c r="B159" s="8"/>
      <c r="C159" s="8"/>
      <c r="G159" s="8"/>
      <c r="H159" s="8"/>
      <c r="I159" s="15"/>
      <c r="K159" s="20"/>
      <c r="L159" s="15"/>
      <c r="M159" s="17"/>
      <c r="N159" s="18"/>
      <c r="O159" s="19"/>
      <c r="P159" s="8"/>
      <c r="Q159" s="8"/>
      <c r="R159" s="15"/>
    </row>
    <row r="160" ht="13.5" customHeight="1">
      <c r="B160" s="8"/>
      <c r="C160" s="8"/>
      <c r="G160" s="8"/>
      <c r="H160" s="8"/>
      <c r="I160" s="15"/>
      <c r="K160" s="20"/>
      <c r="L160" s="15"/>
      <c r="M160" s="17"/>
      <c r="N160" s="18"/>
      <c r="O160" s="19"/>
      <c r="P160" s="8"/>
      <c r="Q160" s="8"/>
      <c r="R160" s="15"/>
    </row>
    <row r="161" ht="13.5" customHeight="1">
      <c r="B161" s="8"/>
      <c r="C161" s="8"/>
      <c r="G161" s="8"/>
      <c r="H161" s="8"/>
      <c r="I161" s="15"/>
      <c r="K161" s="20"/>
      <c r="L161" s="15"/>
      <c r="M161" s="17"/>
      <c r="N161" s="18"/>
      <c r="O161" s="19"/>
      <c r="P161" s="8"/>
      <c r="Q161" s="8"/>
      <c r="R161" s="15"/>
    </row>
    <row r="162" ht="13.5" customHeight="1">
      <c r="B162" s="8"/>
      <c r="C162" s="8"/>
      <c r="G162" s="8"/>
      <c r="H162" s="8"/>
      <c r="I162" s="15"/>
      <c r="K162" s="20"/>
      <c r="L162" s="15"/>
      <c r="M162" s="17"/>
      <c r="N162" s="18"/>
      <c r="O162" s="19"/>
      <c r="P162" s="8"/>
      <c r="Q162" s="8"/>
      <c r="R162" s="15"/>
    </row>
    <row r="163" ht="13.5" customHeight="1">
      <c r="B163" s="8"/>
      <c r="C163" s="8"/>
      <c r="G163" s="8"/>
      <c r="H163" s="8"/>
      <c r="I163" s="15"/>
      <c r="K163" s="20"/>
      <c r="L163" s="15"/>
      <c r="M163" s="17"/>
      <c r="N163" s="18"/>
      <c r="O163" s="19"/>
      <c r="P163" s="8"/>
      <c r="Q163" s="8"/>
      <c r="R163" s="15"/>
    </row>
    <row r="164" ht="13.5" customHeight="1">
      <c r="B164" s="8"/>
      <c r="C164" s="8"/>
      <c r="G164" s="8"/>
      <c r="H164" s="8"/>
      <c r="I164" s="15"/>
      <c r="K164" s="20"/>
      <c r="L164" s="15"/>
      <c r="M164" s="17"/>
      <c r="N164" s="18"/>
      <c r="O164" s="19"/>
      <c r="P164" s="8"/>
      <c r="Q164" s="8"/>
      <c r="R164" s="15"/>
    </row>
    <row r="165" ht="13.5" customHeight="1">
      <c r="B165" s="8"/>
      <c r="C165" s="8"/>
      <c r="G165" s="8"/>
      <c r="H165" s="8"/>
      <c r="I165" s="15"/>
      <c r="K165" s="20"/>
      <c r="L165" s="15"/>
      <c r="M165" s="17"/>
      <c r="N165" s="18"/>
      <c r="O165" s="19"/>
      <c r="P165" s="8"/>
      <c r="Q165" s="8"/>
      <c r="R165" s="15"/>
    </row>
    <row r="166" ht="13.5" customHeight="1">
      <c r="B166" s="8"/>
      <c r="C166" s="8"/>
      <c r="G166" s="8"/>
      <c r="H166" s="8"/>
      <c r="I166" s="15"/>
      <c r="K166" s="20"/>
      <c r="L166" s="15"/>
      <c r="M166" s="17"/>
      <c r="N166" s="18"/>
      <c r="O166" s="19"/>
      <c r="P166" s="8"/>
      <c r="Q166" s="8"/>
      <c r="R166" s="15"/>
    </row>
    <row r="167" ht="13.5" customHeight="1">
      <c r="B167" s="8"/>
      <c r="C167" s="8"/>
      <c r="G167" s="8"/>
      <c r="H167" s="8"/>
      <c r="I167" s="15"/>
      <c r="K167" s="20"/>
      <c r="L167" s="15"/>
      <c r="M167" s="17"/>
      <c r="N167" s="18"/>
      <c r="O167" s="19"/>
      <c r="P167" s="8"/>
      <c r="Q167" s="8"/>
      <c r="R167" s="15"/>
    </row>
    <row r="168" ht="13.5" customHeight="1">
      <c r="B168" s="8"/>
      <c r="C168" s="8"/>
      <c r="G168" s="8"/>
      <c r="H168" s="8"/>
      <c r="I168" s="15"/>
      <c r="K168" s="20"/>
      <c r="L168" s="15"/>
      <c r="M168" s="17"/>
      <c r="N168" s="18"/>
      <c r="O168" s="19"/>
      <c r="P168" s="8"/>
      <c r="Q168" s="8"/>
      <c r="R168" s="15"/>
    </row>
    <row r="169" ht="13.5" customHeight="1">
      <c r="B169" s="8"/>
      <c r="C169" s="8"/>
      <c r="G169" s="8"/>
      <c r="H169" s="8"/>
      <c r="I169" s="15"/>
      <c r="K169" s="20"/>
      <c r="L169" s="15"/>
      <c r="M169" s="17"/>
      <c r="N169" s="18"/>
      <c r="O169" s="19"/>
      <c r="P169" s="8"/>
      <c r="Q169" s="8"/>
      <c r="R169" s="15"/>
    </row>
    <row r="170" ht="13.5" customHeight="1">
      <c r="B170" s="8"/>
      <c r="C170" s="8"/>
      <c r="G170" s="8"/>
      <c r="H170" s="8"/>
      <c r="I170" s="15"/>
      <c r="K170" s="20"/>
      <c r="L170" s="15"/>
      <c r="M170" s="17"/>
      <c r="N170" s="18"/>
      <c r="O170" s="19"/>
      <c r="P170" s="8"/>
      <c r="Q170" s="8"/>
      <c r="R170" s="15"/>
    </row>
    <row r="171" ht="13.5" customHeight="1">
      <c r="B171" s="8"/>
      <c r="C171" s="8"/>
      <c r="G171" s="8"/>
      <c r="H171" s="8"/>
      <c r="I171" s="15"/>
      <c r="K171" s="20"/>
      <c r="L171" s="15"/>
      <c r="M171" s="17"/>
      <c r="N171" s="18"/>
      <c r="O171" s="19"/>
      <c r="P171" s="8"/>
      <c r="Q171" s="8"/>
      <c r="R171" s="15"/>
    </row>
    <row r="172" ht="13.5" customHeight="1">
      <c r="B172" s="8"/>
      <c r="C172" s="8"/>
      <c r="G172" s="8"/>
      <c r="H172" s="8"/>
      <c r="I172" s="15"/>
      <c r="K172" s="20"/>
      <c r="L172" s="15"/>
      <c r="M172" s="17"/>
      <c r="N172" s="18"/>
      <c r="O172" s="19"/>
      <c r="P172" s="8"/>
      <c r="Q172" s="8"/>
      <c r="R172" s="15"/>
    </row>
    <row r="173" ht="13.5" customHeight="1">
      <c r="B173" s="8"/>
      <c r="C173" s="8"/>
      <c r="G173" s="8"/>
      <c r="H173" s="8"/>
      <c r="I173" s="15"/>
      <c r="K173" s="20"/>
      <c r="L173" s="15"/>
      <c r="M173" s="17"/>
      <c r="N173" s="18"/>
      <c r="O173" s="19"/>
      <c r="P173" s="8"/>
      <c r="Q173" s="8"/>
      <c r="R173" s="15"/>
    </row>
    <row r="174" ht="13.5" customHeight="1">
      <c r="B174" s="8"/>
      <c r="C174" s="8"/>
      <c r="G174" s="8"/>
      <c r="H174" s="8"/>
      <c r="I174" s="15"/>
      <c r="K174" s="20"/>
      <c r="L174" s="15"/>
      <c r="M174" s="17"/>
      <c r="N174" s="18"/>
      <c r="O174" s="19"/>
      <c r="P174" s="8"/>
      <c r="Q174" s="8"/>
      <c r="R174" s="15"/>
    </row>
    <row r="175" ht="13.5" customHeight="1">
      <c r="B175" s="8"/>
      <c r="C175" s="8"/>
      <c r="G175" s="8"/>
      <c r="H175" s="8"/>
      <c r="I175" s="15"/>
      <c r="K175" s="20"/>
      <c r="L175" s="15"/>
      <c r="M175" s="17"/>
      <c r="N175" s="18"/>
      <c r="O175" s="19"/>
      <c r="P175" s="8"/>
      <c r="Q175" s="8"/>
      <c r="R175" s="15"/>
    </row>
    <row r="176" ht="13.5" customHeight="1">
      <c r="B176" s="8"/>
      <c r="C176" s="8"/>
      <c r="G176" s="8"/>
      <c r="H176" s="8"/>
      <c r="I176" s="15"/>
      <c r="K176" s="20"/>
      <c r="L176" s="15"/>
      <c r="M176" s="17"/>
      <c r="N176" s="18"/>
      <c r="O176" s="19"/>
      <c r="P176" s="8"/>
      <c r="Q176" s="8"/>
      <c r="R176" s="15"/>
    </row>
    <row r="177" ht="13.5" customHeight="1">
      <c r="B177" s="8"/>
      <c r="C177" s="8"/>
      <c r="G177" s="8"/>
      <c r="H177" s="8"/>
      <c r="I177" s="15"/>
      <c r="K177" s="20"/>
      <c r="L177" s="15"/>
      <c r="M177" s="17"/>
      <c r="N177" s="18"/>
      <c r="O177" s="19"/>
      <c r="P177" s="8"/>
      <c r="Q177" s="8"/>
      <c r="R177" s="15"/>
    </row>
    <row r="178" ht="13.5" customHeight="1">
      <c r="B178" s="8"/>
      <c r="C178" s="8"/>
      <c r="G178" s="8"/>
      <c r="H178" s="8"/>
      <c r="I178" s="15"/>
      <c r="K178" s="20"/>
      <c r="L178" s="15"/>
      <c r="M178" s="17"/>
      <c r="N178" s="18"/>
      <c r="O178" s="19"/>
      <c r="P178" s="8"/>
      <c r="Q178" s="8"/>
      <c r="R178" s="15"/>
    </row>
    <row r="179" ht="13.5" customHeight="1">
      <c r="B179" s="8"/>
      <c r="C179" s="8"/>
      <c r="G179" s="8"/>
      <c r="H179" s="8"/>
      <c r="I179" s="15"/>
      <c r="K179" s="20"/>
      <c r="L179" s="15"/>
      <c r="M179" s="17"/>
      <c r="N179" s="18"/>
      <c r="O179" s="19"/>
      <c r="P179" s="8"/>
      <c r="Q179" s="8"/>
      <c r="R179" s="15"/>
    </row>
    <row r="180" ht="13.5" customHeight="1">
      <c r="B180" s="8"/>
      <c r="C180" s="8"/>
      <c r="G180" s="8"/>
      <c r="H180" s="8"/>
      <c r="I180" s="15"/>
      <c r="K180" s="20"/>
      <c r="L180" s="15"/>
      <c r="M180" s="17"/>
      <c r="N180" s="18"/>
      <c r="O180" s="19"/>
      <c r="P180" s="8"/>
      <c r="Q180" s="8"/>
      <c r="R180" s="15"/>
    </row>
    <row r="181" ht="13.5" customHeight="1">
      <c r="B181" s="8"/>
      <c r="C181" s="8"/>
      <c r="G181" s="8"/>
      <c r="H181" s="8"/>
      <c r="I181" s="15"/>
      <c r="K181" s="20"/>
      <c r="L181" s="15"/>
      <c r="M181" s="17"/>
      <c r="N181" s="18"/>
      <c r="O181" s="19"/>
      <c r="P181" s="8"/>
      <c r="Q181" s="8"/>
      <c r="R181" s="15"/>
    </row>
    <row r="182" ht="13.5" customHeight="1">
      <c r="B182" s="8"/>
      <c r="C182" s="8"/>
      <c r="G182" s="8"/>
      <c r="H182" s="8"/>
      <c r="I182" s="15"/>
      <c r="K182" s="20"/>
      <c r="L182" s="15"/>
      <c r="M182" s="17"/>
      <c r="N182" s="18"/>
      <c r="O182" s="19"/>
      <c r="P182" s="8"/>
      <c r="Q182" s="8"/>
      <c r="R182" s="15"/>
    </row>
    <row r="183" ht="13.5" customHeight="1">
      <c r="B183" s="8"/>
      <c r="C183" s="8"/>
      <c r="G183" s="8"/>
      <c r="H183" s="8"/>
      <c r="I183" s="15"/>
      <c r="K183" s="20"/>
      <c r="L183" s="15"/>
      <c r="M183" s="17"/>
      <c r="N183" s="18"/>
      <c r="O183" s="19"/>
      <c r="P183" s="8"/>
      <c r="Q183" s="8"/>
      <c r="R183" s="15"/>
    </row>
    <row r="184" ht="13.5" customHeight="1">
      <c r="B184" s="8"/>
      <c r="C184" s="8"/>
      <c r="G184" s="8"/>
      <c r="H184" s="8"/>
      <c r="I184" s="15"/>
      <c r="K184" s="20"/>
      <c r="L184" s="15"/>
      <c r="M184" s="17"/>
      <c r="N184" s="18"/>
      <c r="O184" s="19"/>
      <c r="P184" s="8"/>
      <c r="Q184" s="8"/>
      <c r="R184" s="15"/>
    </row>
    <row r="185" ht="13.5" customHeight="1">
      <c r="B185" s="8"/>
      <c r="C185" s="8"/>
      <c r="G185" s="8"/>
      <c r="H185" s="8"/>
      <c r="I185" s="15"/>
      <c r="K185" s="20"/>
      <c r="L185" s="15"/>
      <c r="M185" s="17"/>
      <c r="N185" s="18"/>
      <c r="O185" s="19"/>
      <c r="P185" s="8"/>
      <c r="Q185" s="8"/>
      <c r="R185" s="15"/>
    </row>
    <row r="186" ht="13.5" customHeight="1">
      <c r="B186" s="8"/>
      <c r="C186" s="8"/>
      <c r="G186" s="8"/>
      <c r="H186" s="8"/>
      <c r="I186" s="15"/>
      <c r="K186" s="20"/>
      <c r="L186" s="15"/>
      <c r="M186" s="17"/>
      <c r="N186" s="18"/>
      <c r="O186" s="19"/>
      <c r="P186" s="8"/>
      <c r="Q186" s="8"/>
      <c r="R186" s="15"/>
    </row>
    <row r="187" ht="13.5" customHeight="1">
      <c r="B187" s="8"/>
      <c r="C187" s="8"/>
      <c r="G187" s="8"/>
      <c r="H187" s="8"/>
      <c r="I187" s="15"/>
      <c r="K187" s="20"/>
      <c r="L187" s="15"/>
      <c r="M187" s="17"/>
      <c r="N187" s="18"/>
      <c r="O187" s="19"/>
      <c r="P187" s="8"/>
      <c r="Q187" s="8"/>
      <c r="R187" s="15"/>
    </row>
    <row r="188" ht="13.5" customHeight="1">
      <c r="B188" s="8"/>
      <c r="C188" s="8"/>
      <c r="G188" s="8"/>
      <c r="H188" s="8"/>
      <c r="I188" s="15"/>
      <c r="K188" s="20"/>
      <c r="L188" s="15"/>
      <c r="M188" s="17"/>
      <c r="N188" s="18"/>
      <c r="O188" s="19"/>
      <c r="P188" s="8"/>
      <c r="Q188" s="8"/>
      <c r="R188" s="15"/>
    </row>
    <row r="189" ht="13.5" customHeight="1">
      <c r="B189" s="8"/>
      <c r="C189" s="8"/>
      <c r="G189" s="8"/>
      <c r="H189" s="8"/>
      <c r="I189" s="15"/>
      <c r="K189" s="20"/>
      <c r="L189" s="15"/>
      <c r="M189" s="17"/>
      <c r="N189" s="18"/>
      <c r="O189" s="19"/>
      <c r="P189" s="8"/>
      <c r="Q189" s="8"/>
      <c r="R189" s="15"/>
    </row>
    <row r="190" ht="13.5" customHeight="1">
      <c r="B190" s="8"/>
      <c r="C190" s="8"/>
      <c r="G190" s="8"/>
      <c r="H190" s="8"/>
      <c r="I190" s="15"/>
      <c r="K190" s="20"/>
      <c r="L190" s="15"/>
      <c r="M190" s="17"/>
      <c r="N190" s="18"/>
      <c r="O190" s="19"/>
      <c r="P190" s="8"/>
      <c r="Q190" s="8"/>
      <c r="R190" s="15"/>
    </row>
    <row r="191" ht="13.5" customHeight="1">
      <c r="B191" s="8"/>
      <c r="C191" s="8"/>
      <c r="G191" s="8"/>
      <c r="H191" s="8"/>
      <c r="I191" s="15"/>
      <c r="K191" s="20"/>
      <c r="L191" s="15"/>
      <c r="M191" s="17"/>
      <c r="N191" s="18"/>
      <c r="O191" s="19"/>
      <c r="P191" s="8"/>
      <c r="Q191" s="8"/>
      <c r="R191" s="15"/>
    </row>
    <row r="192" ht="13.5" customHeight="1">
      <c r="B192" s="8"/>
      <c r="C192" s="8"/>
      <c r="G192" s="8"/>
      <c r="H192" s="8"/>
      <c r="I192" s="15"/>
      <c r="K192" s="20"/>
      <c r="L192" s="15"/>
      <c r="M192" s="17"/>
      <c r="N192" s="18"/>
      <c r="O192" s="19"/>
      <c r="P192" s="8"/>
      <c r="Q192" s="8"/>
      <c r="R192" s="15"/>
    </row>
    <row r="193" ht="13.5" customHeight="1">
      <c r="B193" s="8"/>
      <c r="C193" s="8"/>
      <c r="G193" s="8"/>
      <c r="H193" s="8"/>
      <c r="I193" s="15"/>
      <c r="K193" s="20"/>
      <c r="L193" s="15"/>
      <c r="M193" s="17"/>
      <c r="N193" s="18"/>
      <c r="O193" s="19"/>
      <c r="P193" s="8"/>
      <c r="Q193" s="8"/>
      <c r="R193" s="15"/>
    </row>
    <row r="194" ht="13.5" customHeight="1">
      <c r="B194" s="8"/>
      <c r="C194" s="8"/>
      <c r="G194" s="8"/>
      <c r="H194" s="8"/>
      <c r="I194" s="15"/>
      <c r="K194" s="20"/>
      <c r="L194" s="15"/>
      <c r="M194" s="17"/>
      <c r="N194" s="18"/>
      <c r="O194" s="19"/>
      <c r="P194" s="8"/>
      <c r="Q194" s="8"/>
      <c r="R194" s="15"/>
    </row>
    <row r="195" ht="13.5" customHeight="1">
      <c r="B195" s="8"/>
      <c r="C195" s="8"/>
      <c r="G195" s="8"/>
      <c r="H195" s="8"/>
      <c r="I195" s="15"/>
      <c r="K195" s="20"/>
      <c r="L195" s="15"/>
      <c r="M195" s="17"/>
      <c r="N195" s="18"/>
      <c r="O195" s="19"/>
      <c r="P195" s="8"/>
      <c r="Q195" s="8"/>
      <c r="R195" s="15"/>
    </row>
    <row r="196" ht="13.5" customHeight="1">
      <c r="B196" s="8"/>
      <c r="C196" s="8"/>
      <c r="G196" s="8"/>
      <c r="H196" s="8"/>
      <c r="I196" s="15"/>
      <c r="K196" s="20"/>
      <c r="L196" s="15"/>
      <c r="M196" s="17"/>
      <c r="N196" s="18"/>
      <c r="O196" s="19"/>
      <c r="P196" s="8"/>
      <c r="Q196" s="8"/>
      <c r="R196" s="15"/>
    </row>
    <row r="197" ht="13.5" customHeight="1">
      <c r="B197" s="8"/>
      <c r="C197" s="8"/>
      <c r="G197" s="8"/>
      <c r="H197" s="8"/>
      <c r="I197" s="15"/>
      <c r="K197" s="20"/>
      <c r="L197" s="15"/>
      <c r="M197" s="17"/>
      <c r="N197" s="18"/>
      <c r="O197" s="19"/>
      <c r="P197" s="8"/>
      <c r="Q197" s="8"/>
      <c r="R197" s="15"/>
    </row>
    <row r="198" ht="13.5" customHeight="1">
      <c r="B198" s="8"/>
      <c r="C198" s="8"/>
      <c r="G198" s="8"/>
      <c r="H198" s="8"/>
      <c r="I198" s="15"/>
      <c r="K198" s="20"/>
      <c r="L198" s="15"/>
      <c r="M198" s="17"/>
      <c r="N198" s="18"/>
      <c r="O198" s="19"/>
      <c r="P198" s="8"/>
      <c r="Q198" s="8"/>
      <c r="R198" s="15"/>
    </row>
    <row r="199" ht="13.5" customHeight="1">
      <c r="B199" s="8"/>
      <c r="C199" s="8"/>
      <c r="G199" s="8"/>
      <c r="H199" s="8"/>
      <c r="I199" s="15"/>
      <c r="K199" s="20"/>
      <c r="L199" s="15"/>
      <c r="M199" s="17"/>
      <c r="N199" s="18"/>
      <c r="O199" s="19"/>
      <c r="P199" s="8"/>
      <c r="Q199" s="8"/>
      <c r="R199" s="15"/>
    </row>
    <row r="200" ht="13.5" customHeight="1">
      <c r="B200" s="8"/>
      <c r="C200" s="8"/>
      <c r="G200" s="8"/>
      <c r="H200" s="8"/>
      <c r="I200" s="15"/>
      <c r="K200" s="20"/>
      <c r="L200" s="15"/>
      <c r="M200" s="17"/>
      <c r="N200" s="18"/>
      <c r="O200" s="19"/>
      <c r="P200" s="8"/>
      <c r="Q200" s="8"/>
      <c r="R200" s="15"/>
    </row>
    <row r="201" ht="13.5" customHeight="1">
      <c r="B201" s="8"/>
      <c r="C201" s="8"/>
      <c r="G201" s="8"/>
      <c r="H201" s="8"/>
      <c r="I201" s="15"/>
      <c r="K201" s="20"/>
      <c r="L201" s="15"/>
      <c r="M201" s="17"/>
      <c r="N201" s="18"/>
      <c r="O201" s="19"/>
      <c r="P201" s="8"/>
      <c r="Q201" s="8"/>
      <c r="R201" s="15"/>
    </row>
    <row r="202" ht="13.5" customHeight="1">
      <c r="B202" s="8"/>
      <c r="C202" s="8"/>
      <c r="G202" s="8"/>
      <c r="H202" s="8"/>
      <c r="I202" s="15"/>
      <c r="K202" s="20"/>
      <c r="L202" s="15"/>
      <c r="M202" s="17"/>
      <c r="N202" s="18"/>
      <c r="O202" s="19"/>
      <c r="P202" s="8"/>
      <c r="Q202" s="8"/>
      <c r="R202" s="15"/>
    </row>
    <row r="203" ht="13.5" customHeight="1">
      <c r="B203" s="8"/>
      <c r="C203" s="8"/>
      <c r="G203" s="8"/>
      <c r="H203" s="8"/>
      <c r="I203" s="15"/>
      <c r="K203" s="20"/>
      <c r="L203" s="15"/>
      <c r="M203" s="17"/>
      <c r="N203" s="18"/>
      <c r="O203" s="19"/>
      <c r="P203" s="8"/>
      <c r="Q203" s="8"/>
      <c r="R203" s="15"/>
    </row>
    <row r="204" ht="13.5" customHeight="1">
      <c r="B204" s="8"/>
      <c r="C204" s="8"/>
      <c r="G204" s="8"/>
      <c r="H204" s="8"/>
      <c r="I204" s="15"/>
      <c r="K204" s="20"/>
      <c r="L204" s="15"/>
      <c r="M204" s="17"/>
      <c r="N204" s="18"/>
      <c r="O204" s="19"/>
      <c r="P204" s="8"/>
      <c r="Q204" s="8"/>
      <c r="R204" s="15"/>
    </row>
    <row r="205" ht="13.5" customHeight="1">
      <c r="B205" s="8"/>
      <c r="C205" s="8"/>
      <c r="G205" s="8"/>
      <c r="H205" s="8"/>
      <c r="I205" s="15"/>
      <c r="K205" s="20"/>
      <c r="L205" s="15"/>
      <c r="M205" s="17"/>
      <c r="N205" s="18"/>
      <c r="O205" s="19"/>
      <c r="P205" s="8"/>
      <c r="Q205" s="8"/>
      <c r="R205" s="15"/>
    </row>
    <row r="206" ht="13.5" customHeight="1">
      <c r="B206" s="8"/>
      <c r="C206" s="8"/>
      <c r="G206" s="8"/>
      <c r="H206" s="8"/>
      <c r="I206" s="15"/>
      <c r="K206" s="20"/>
      <c r="L206" s="15"/>
      <c r="M206" s="17"/>
      <c r="N206" s="18"/>
      <c r="O206" s="19"/>
      <c r="P206" s="8"/>
      <c r="Q206" s="8"/>
      <c r="R206" s="15"/>
    </row>
    <row r="207" ht="13.5" customHeight="1">
      <c r="B207" s="8"/>
      <c r="C207" s="8"/>
      <c r="G207" s="8"/>
      <c r="H207" s="8"/>
      <c r="I207" s="15"/>
      <c r="K207" s="20"/>
      <c r="L207" s="15"/>
      <c r="M207" s="17"/>
      <c r="N207" s="18"/>
      <c r="O207" s="19"/>
      <c r="P207" s="8"/>
      <c r="Q207" s="8"/>
      <c r="R207" s="15"/>
    </row>
    <row r="208" ht="13.5" customHeight="1">
      <c r="B208" s="8"/>
      <c r="C208" s="8"/>
      <c r="G208" s="8"/>
      <c r="H208" s="8"/>
      <c r="I208" s="15"/>
      <c r="K208" s="20"/>
      <c r="L208" s="15"/>
      <c r="M208" s="17"/>
      <c r="N208" s="18"/>
      <c r="O208" s="19"/>
      <c r="P208" s="8"/>
      <c r="Q208" s="8"/>
      <c r="R208" s="15"/>
    </row>
    <row r="209" ht="13.5" customHeight="1">
      <c r="B209" s="8"/>
      <c r="C209" s="8"/>
      <c r="G209" s="8"/>
      <c r="H209" s="8"/>
      <c r="I209" s="15"/>
      <c r="K209" s="20"/>
      <c r="L209" s="15"/>
      <c r="M209" s="17"/>
      <c r="N209" s="18"/>
      <c r="O209" s="19"/>
      <c r="P209" s="8"/>
      <c r="Q209" s="8"/>
      <c r="R209" s="15"/>
    </row>
    <row r="210" ht="13.5" customHeight="1">
      <c r="B210" s="8"/>
      <c r="C210" s="8"/>
      <c r="G210" s="8"/>
      <c r="H210" s="8"/>
      <c r="I210" s="15"/>
      <c r="K210" s="20"/>
      <c r="L210" s="15"/>
      <c r="M210" s="17"/>
      <c r="N210" s="18"/>
      <c r="O210" s="19"/>
      <c r="P210" s="8"/>
      <c r="Q210" s="8"/>
      <c r="R210" s="15"/>
    </row>
    <row r="211" ht="13.5" customHeight="1">
      <c r="B211" s="8"/>
      <c r="C211" s="8"/>
      <c r="G211" s="8"/>
      <c r="H211" s="8"/>
      <c r="I211" s="15"/>
      <c r="K211" s="20"/>
      <c r="L211" s="15"/>
      <c r="M211" s="17"/>
      <c r="N211" s="18"/>
      <c r="O211" s="19"/>
      <c r="P211" s="8"/>
      <c r="Q211" s="8"/>
      <c r="R211" s="15"/>
    </row>
    <row r="212" ht="13.5" customHeight="1">
      <c r="B212" s="8"/>
      <c r="C212" s="8"/>
      <c r="G212" s="8"/>
      <c r="H212" s="8"/>
      <c r="I212" s="15"/>
      <c r="K212" s="20"/>
      <c r="L212" s="15"/>
      <c r="M212" s="17"/>
      <c r="N212" s="18"/>
      <c r="O212" s="19"/>
      <c r="P212" s="8"/>
      <c r="Q212" s="8"/>
      <c r="R212" s="15"/>
    </row>
    <row r="213" ht="13.5" customHeight="1">
      <c r="B213" s="8"/>
      <c r="C213" s="8"/>
      <c r="G213" s="8"/>
      <c r="H213" s="8"/>
      <c r="I213" s="15"/>
      <c r="K213" s="20"/>
      <c r="L213" s="15"/>
      <c r="M213" s="17"/>
      <c r="N213" s="18"/>
      <c r="O213" s="19"/>
      <c r="P213" s="8"/>
      <c r="Q213" s="8"/>
      <c r="R213" s="15"/>
    </row>
    <row r="214" ht="13.5" customHeight="1">
      <c r="B214" s="8"/>
      <c r="C214" s="8"/>
      <c r="G214" s="8"/>
      <c r="H214" s="8"/>
      <c r="I214" s="15"/>
      <c r="K214" s="20"/>
      <c r="L214" s="15"/>
      <c r="M214" s="17"/>
      <c r="N214" s="18"/>
      <c r="O214" s="19"/>
      <c r="P214" s="8"/>
      <c r="Q214" s="8"/>
      <c r="R214" s="15"/>
    </row>
    <row r="215" ht="13.5" customHeight="1">
      <c r="B215" s="8"/>
      <c r="C215" s="8"/>
      <c r="G215" s="8"/>
      <c r="H215" s="8"/>
      <c r="I215" s="15"/>
      <c r="K215" s="20"/>
      <c r="L215" s="15"/>
      <c r="M215" s="17"/>
      <c r="N215" s="18"/>
      <c r="O215" s="19"/>
      <c r="P215" s="8"/>
      <c r="Q215" s="8"/>
      <c r="R215" s="15"/>
    </row>
    <row r="216" ht="13.5" customHeight="1">
      <c r="B216" s="8"/>
      <c r="C216" s="8"/>
      <c r="G216" s="8"/>
      <c r="H216" s="8"/>
      <c r="I216" s="15"/>
      <c r="K216" s="20"/>
      <c r="L216" s="15"/>
      <c r="M216" s="17"/>
      <c r="N216" s="18"/>
      <c r="O216" s="19"/>
      <c r="P216" s="8"/>
      <c r="Q216" s="8"/>
      <c r="R216" s="15"/>
    </row>
    <row r="217" ht="13.5" customHeight="1">
      <c r="B217" s="8"/>
      <c r="C217" s="8"/>
      <c r="G217" s="8"/>
      <c r="H217" s="8"/>
      <c r="I217" s="15"/>
      <c r="K217" s="20"/>
      <c r="L217" s="15"/>
      <c r="M217" s="17"/>
      <c r="N217" s="18"/>
      <c r="O217" s="19"/>
      <c r="P217" s="8"/>
      <c r="Q217" s="8"/>
      <c r="R217" s="15"/>
    </row>
    <row r="218" ht="13.5" customHeight="1">
      <c r="B218" s="8"/>
      <c r="C218" s="8"/>
      <c r="G218" s="8"/>
      <c r="H218" s="8"/>
      <c r="I218" s="15"/>
      <c r="K218" s="20"/>
      <c r="L218" s="15"/>
      <c r="M218" s="17"/>
      <c r="N218" s="18"/>
      <c r="O218" s="19"/>
      <c r="P218" s="8"/>
      <c r="Q218" s="8"/>
      <c r="R218" s="15"/>
    </row>
    <row r="219" ht="13.5" customHeight="1">
      <c r="B219" s="8"/>
      <c r="C219" s="8"/>
      <c r="G219" s="8"/>
      <c r="H219" s="8"/>
      <c r="I219" s="15"/>
      <c r="K219" s="20"/>
      <c r="L219" s="15"/>
      <c r="M219" s="17"/>
      <c r="N219" s="18"/>
      <c r="O219" s="19"/>
      <c r="P219" s="8"/>
      <c r="Q219" s="8"/>
      <c r="R219" s="15"/>
    </row>
    <row r="220" ht="13.5" customHeight="1">
      <c r="B220" s="8"/>
      <c r="C220" s="8"/>
      <c r="G220" s="8"/>
      <c r="H220" s="8"/>
      <c r="I220" s="15"/>
      <c r="K220" s="20"/>
      <c r="L220" s="15"/>
      <c r="M220" s="17"/>
      <c r="N220" s="18"/>
      <c r="O220" s="19"/>
      <c r="P220" s="8"/>
      <c r="Q220" s="8"/>
      <c r="R220" s="15"/>
    </row>
    <row r="221" ht="13.5" customHeight="1">
      <c r="B221" s="8"/>
      <c r="C221" s="8"/>
      <c r="G221" s="8"/>
      <c r="H221" s="8"/>
      <c r="I221" s="15"/>
      <c r="K221" s="20"/>
      <c r="L221" s="15"/>
      <c r="M221" s="17"/>
      <c r="N221" s="18"/>
      <c r="O221" s="19"/>
      <c r="P221" s="8"/>
      <c r="Q221" s="8"/>
      <c r="R221" s="15"/>
    </row>
    <row r="222" ht="13.5" customHeight="1">
      <c r="B222" s="8"/>
      <c r="C222" s="8"/>
      <c r="G222" s="8"/>
      <c r="H222" s="8"/>
      <c r="I222" s="15"/>
      <c r="K222" s="20"/>
      <c r="L222" s="15"/>
      <c r="M222" s="17"/>
      <c r="N222" s="18"/>
      <c r="O222" s="19"/>
      <c r="P222" s="8"/>
      <c r="Q222" s="8"/>
      <c r="R222" s="15"/>
    </row>
    <row r="223" ht="13.5" customHeight="1">
      <c r="B223" s="8"/>
      <c r="C223" s="8"/>
      <c r="G223" s="8"/>
      <c r="H223" s="8"/>
      <c r="I223" s="15"/>
      <c r="K223" s="20"/>
      <c r="L223" s="15"/>
      <c r="M223" s="17"/>
      <c r="N223" s="18"/>
      <c r="O223" s="19"/>
      <c r="P223" s="8"/>
      <c r="Q223" s="8"/>
      <c r="R223" s="15"/>
    </row>
    <row r="224" ht="13.5" customHeight="1">
      <c r="B224" s="8"/>
      <c r="C224" s="8"/>
      <c r="G224" s="8"/>
      <c r="H224" s="8"/>
      <c r="I224" s="15"/>
      <c r="K224" s="20"/>
      <c r="L224" s="15"/>
      <c r="M224" s="17"/>
      <c r="N224" s="18"/>
      <c r="O224" s="19"/>
      <c r="P224" s="8"/>
      <c r="Q224" s="8"/>
      <c r="R224" s="15"/>
    </row>
    <row r="225" ht="13.5" customHeight="1">
      <c r="B225" s="8"/>
      <c r="C225" s="8"/>
      <c r="G225" s="8"/>
      <c r="H225" s="8"/>
      <c r="I225" s="15"/>
      <c r="K225" s="20"/>
      <c r="L225" s="15"/>
      <c r="M225" s="17"/>
      <c r="N225" s="18"/>
      <c r="O225" s="19"/>
      <c r="P225" s="8"/>
      <c r="Q225" s="8"/>
      <c r="R225" s="15"/>
    </row>
    <row r="226" ht="13.5" customHeight="1">
      <c r="B226" s="8"/>
      <c r="C226" s="8"/>
      <c r="G226" s="8"/>
      <c r="H226" s="8"/>
      <c r="I226" s="15"/>
      <c r="K226" s="20"/>
      <c r="L226" s="15"/>
      <c r="M226" s="17"/>
      <c r="N226" s="18"/>
      <c r="O226" s="19"/>
      <c r="P226" s="8"/>
      <c r="Q226" s="8"/>
      <c r="R226" s="15"/>
    </row>
    <row r="227" ht="13.5" customHeight="1">
      <c r="B227" s="8"/>
      <c r="C227" s="8"/>
      <c r="G227" s="8"/>
      <c r="H227" s="8"/>
      <c r="I227" s="15"/>
      <c r="K227" s="20"/>
      <c r="L227" s="15"/>
      <c r="M227" s="17"/>
      <c r="N227" s="18"/>
      <c r="O227" s="19"/>
      <c r="P227" s="8"/>
      <c r="Q227" s="8"/>
      <c r="R227" s="15"/>
    </row>
    <row r="228" ht="13.5" customHeight="1">
      <c r="B228" s="8"/>
      <c r="C228" s="8"/>
      <c r="G228" s="8"/>
      <c r="H228" s="8"/>
      <c r="I228" s="15"/>
      <c r="K228" s="20"/>
      <c r="L228" s="15"/>
      <c r="M228" s="17"/>
      <c r="N228" s="18"/>
      <c r="O228" s="19"/>
      <c r="P228" s="8"/>
      <c r="Q228" s="8"/>
      <c r="R228" s="15"/>
    </row>
    <row r="229" ht="13.5" customHeight="1">
      <c r="B229" s="8"/>
      <c r="C229" s="8"/>
      <c r="G229" s="8"/>
      <c r="H229" s="8"/>
      <c r="I229" s="15"/>
      <c r="K229" s="20"/>
      <c r="L229" s="15"/>
      <c r="M229" s="17"/>
      <c r="N229" s="18"/>
      <c r="O229" s="19"/>
      <c r="P229" s="8"/>
      <c r="Q229" s="8"/>
      <c r="R229" s="15"/>
    </row>
    <row r="230" ht="13.5" customHeight="1">
      <c r="B230" s="8"/>
      <c r="C230" s="8"/>
      <c r="G230" s="8"/>
      <c r="H230" s="8"/>
      <c r="I230" s="15"/>
      <c r="K230" s="20"/>
      <c r="L230" s="15"/>
      <c r="M230" s="17"/>
      <c r="N230" s="18"/>
      <c r="O230" s="19"/>
      <c r="P230" s="8"/>
      <c r="Q230" s="8"/>
      <c r="R230" s="15"/>
    </row>
    <row r="231" ht="13.5" customHeight="1">
      <c r="B231" s="8"/>
      <c r="C231" s="8"/>
      <c r="G231" s="8"/>
      <c r="H231" s="8"/>
      <c r="I231" s="15"/>
      <c r="K231" s="20"/>
      <c r="L231" s="15"/>
      <c r="M231" s="17"/>
      <c r="N231" s="18"/>
      <c r="O231" s="19"/>
      <c r="P231" s="8"/>
      <c r="Q231" s="8"/>
      <c r="R231" s="15"/>
    </row>
    <row r="232" ht="13.5" customHeight="1">
      <c r="B232" s="8"/>
      <c r="C232" s="8"/>
      <c r="G232" s="8"/>
      <c r="H232" s="8"/>
      <c r="I232" s="15"/>
      <c r="K232" s="20"/>
      <c r="L232" s="15"/>
      <c r="M232" s="17"/>
      <c r="N232" s="18"/>
      <c r="O232" s="19"/>
      <c r="P232" s="8"/>
      <c r="Q232" s="8"/>
      <c r="R232" s="15"/>
    </row>
    <row r="233" ht="13.5" customHeight="1">
      <c r="B233" s="8"/>
      <c r="C233" s="8"/>
      <c r="G233" s="8"/>
      <c r="H233" s="8"/>
      <c r="I233" s="15"/>
      <c r="K233" s="20"/>
      <c r="L233" s="15"/>
      <c r="M233" s="17"/>
      <c r="N233" s="18"/>
      <c r="O233" s="19"/>
      <c r="P233" s="8"/>
      <c r="Q233" s="8"/>
      <c r="R233" s="15"/>
    </row>
    <row r="234" ht="13.5" customHeight="1">
      <c r="B234" s="8"/>
      <c r="C234" s="8"/>
      <c r="G234" s="8"/>
      <c r="H234" s="8"/>
      <c r="I234" s="15"/>
      <c r="K234" s="20"/>
      <c r="L234" s="15"/>
      <c r="M234" s="17"/>
      <c r="N234" s="18"/>
      <c r="O234" s="19"/>
      <c r="P234" s="8"/>
      <c r="Q234" s="8"/>
      <c r="R234" s="15"/>
    </row>
    <row r="235" ht="13.5" customHeight="1">
      <c r="B235" s="8"/>
      <c r="C235" s="8"/>
      <c r="G235" s="8"/>
      <c r="H235" s="8"/>
      <c r="I235" s="15"/>
      <c r="K235" s="20"/>
      <c r="L235" s="15"/>
      <c r="M235" s="17"/>
      <c r="N235" s="18"/>
      <c r="O235" s="19"/>
      <c r="P235" s="8"/>
      <c r="Q235" s="8"/>
      <c r="R235" s="15"/>
    </row>
    <row r="236" ht="13.5" customHeight="1">
      <c r="B236" s="8"/>
      <c r="C236" s="8"/>
      <c r="G236" s="8"/>
      <c r="H236" s="8"/>
      <c r="I236" s="15"/>
      <c r="K236" s="20"/>
      <c r="L236" s="15"/>
      <c r="M236" s="17"/>
      <c r="N236" s="18"/>
      <c r="O236" s="19"/>
      <c r="P236" s="8"/>
      <c r="Q236" s="8"/>
      <c r="R236" s="15"/>
    </row>
    <row r="237" ht="13.5" customHeight="1">
      <c r="B237" s="8"/>
      <c r="C237" s="8"/>
      <c r="G237" s="8"/>
      <c r="H237" s="8"/>
      <c r="I237" s="15"/>
      <c r="K237" s="20"/>
      <c r="L237" s="15"/>
      <c r="M237" s="17"/>
      <c r="N237" s="18"/>
      <c r="O237" s="19"/>
      <c r="P237" s="8"/>
      <c r="Q237" s="8"/>
      <c r="R237" s="15"/>
    </row>
    <row r="238" ht="13.5" customHeight="1">
      <c r="B238" s="8"/>
      <c r="C238" s="8"/>
      <c r="G238" s="8"/>
      <c r="H238" s="8"/>
      <c r="I238" s="15"/>
      <c r="K238" s="20"/>
      <c r="L238" s="15"/>
      <c r="M238" s="17"/>
      <c r="N238" s="18"/>
      <c r="O238" s="19"/>
      <c r="P238" s="8"/>
      <c r="Q238" s="8"/>
      <c r="R238" s="15"/>
    </row>
    <row r="239" ht="13.5" customHeight="1">
      <c r="B239" s="8"/>
      <c r="C239" s="8"/>
      <c r="G239" s="8"/>
      <c r="H239" s="8"/>
      <c r="I239" s="15"/>
      <c r="K239" s="20"/>
      <c r="L239" s="15"/>
      <c r="M239" s="17"/>
      <c r="N239" s="18"/>
      <c r="O239" s="19"/>
      <c r="P239" s="8"/>
      <c r="Q239" s="8"/>
      <c r="R239" s="15"/>
    </row>
    <row r="240" ht="13.5" customHeight="1">
      <c r="B240" s="8"/>
      <c r="C240" s="8"/>
      <c r="G240" s="8"/>
      <c r="H240" s="8"/>
      <c r="I240" s="15"/>
      <c r="K240" s="20"/>
      <c r="L240" s="15"/>
      <c r="M240" s="17"/>
      <c r="N240" s="18"/>
      <c r="O240" s="19"/>
      <c r="P240" s="8"/>
      <c r="Q240" s="8"/>
      <c r="R240" s="15"/>
    </row>
    <row r="241" ht="13.5" customHeight="1">
      <c r="B241" s="8"/>
      <c r="C241" s="8"/>
      <c r="G241" s="8"/>
      <c r="H241" s="8"/>
      <c r="I241" s="15"/>
      <c r="K241" s="20"/>
      <c r="L241" s="15"/>
      <c r="M241" s="17"/>
      <c r="N241" s="18"/>
      <c r="O241" s="19"/>
      <c r="P241" s="8"/>
      <c r="Q241" s="8"/>
      <c r="R241" s="15"/>
    </row>
    <row r="242" ht="13.5" customHeight="1">
      <c r="B242" s="8"/>
      <c r="C242" s="8"/>
      <c r="G242" s="8"/>
      <c r="H242" s="8"/>
      <c r="I242" s="15"/>
      <c r="K242" s="20"/>
      <c r="L242" s="15"/>
      <c r="M242" s="17"/>
      <c r="N242" s="18"/>
      <c r="O242" s="19"/>
      <c r="P242" s="8"/>
      <c r="Q242" s="8"/>
      <c r="R242" s="15"/>
    </row>
    <row r="243" ht="13.5" customHeight="1">
      <c r="B243" s="8"/>
      <c r="C243" s="8"/>
      <c r="G243" s="8"/>
      <c r="H243" s="8"/>
      <c r="I243" s="15"/>
      <c r="K243" s="20"/>
      <c r="L243" s="15"/>
      <c r="M243" s="17"/>
      <c r="N243" s="18"/>
      <c r="O243" s="19"/>
      <c r="P243" s="8"/>
      <c r="Q243" s="8"/>
      <c r="R243" s="15"/>
    </row>
    <row r="244" ht="13.5" customHeight="1">
      <c r="B244" s="8"/>
      <c r="C244" s="8"/>
      <c r="G244" s="8"/>
      <c r="H244" s="8"/>
      <c r="I244" s="15"/>
      <c r="K244" s="20"/>
      <c r="L244" s="15"/>
      <c r="M244" s="17"/>
      <c r="N244" s="18"/>
      <c r="O244" s="19"/>
      <c r="P244" s="8"/>
      <c r="Q244" s="8"/>
      <c r="R244" s="15"/>
    </row>
    <row r="245" ht="13.5" customHeight="1">
      <c r="B245" s="8"/>
      <c r="C245" s="8"/>
      <c r="G245" s="8"/>
      <c r="H245" s="8"/>
      <c r="I245" s="15"/>
      <c r="K245" s="20"/>
      <c r="L245" s="15"/>
      <c r="M245" s="17"/>
      <c r="N245" s="18"/>
      <c r="O245" s="19"/>
      <c r="P245" s="8"/>
      <c r="Q245" s="8"/>
      <c r="R245" s="15"/>
    </row>
    <row r="246" ht="13.5" customHeight="1">
      <c r="B246" s="8"/>
      <c r="C246" s="8"/>
      <c r="G246" s="8"/>
      <c r="H246" s="8"/>
      <c r="I246" s="15"/>
      <c r="K246" s="20"/>
      <c r="L246" s="15"/>
      <c r="M246" s="17"/>
      <c r="N246" s="18"/>
      <c r="O246" s="19"/>
      <c r="P246" s="8"/>
      <c r="Q246" s="8"/>
      <c r="R246" s="15"/>
    </row>
    <row r="247" ht="13.5" customHeight="1">
      <c r="B247" s="8"/>
      <c r="C247" s="8"/>
      <c r="G247" s="8"/>
      <c r="H247" s="8"/>
      <c r="I247" s="15"/>
      <c r="K247" s="20"/>
      <c r="L247" s="15"/>
      <c r="M247" s="17"/>
      <c r="N247" s="18"/>
      <c r="O247" s="19"/>
      <c r="P247" s="8"/>
      <c r="Q247" s="8"/>
      <c r="R247" s="15"/>
    </row>
    <row r="248" ht="13.5" customHeight="1">
      <c r="B248" s="8"/>
      <c r="C248" s="8"/>
      <c r="G248" s="8"/>
      <c r="H248" s="8"/>
      <c r="I248" s="15"/>
      <c r="K248" s="20"/>
      <c r="L248" s="15"/>
      <c r="M248" s="17"/>
      <c r="N248" s="18"/>
      <c r="O248" s="19"/>
      <c r="P248" s="8"/>
      <c r="Q248" s="8"/>
      <c r="R248" s="15"/>
    </row>
    <row r="249" ht="13.5" customHeight="1">
      <c r="B249" s="8"/>
      <c r="C249" s="8"/>
      <c r="G249" s="8"/>
      <c r="H249" s="8"/>
      <c r="I249" s="15"/>
      <c r="K249" s="20"/>
      <c r="L249" s="15"/>
      <c r="M249" s="17"/>
      <c r="N249" s="18"/>
      <c r="O249" s="19"/>
      <c r="P249" s="8"/>
      <c r="Q249" s="8"/>
      <c r="R249" s="15"/>
    </row>
    <row r="250" ht="13.5" customHeight="1">
      <c r="B250" s="8"/>
      <c r="C250" s="8"/>
      <c r="G250" s="8"/>
      <c r="H250" s="8"/>
      <c r="I250" s="15"/>
      <c r="K250" s="20"/>
      <c r="L250" s="15"/>
      <c r="M250" s="17"/>
      <c r="N250" s="18"/>
      <c r="O250" s="19"/>
      <c r="P250" s="8"/>
      <c r="Q250" s="8"/>
      <c r="R250" s="15"/>
    </row>
    <row r="251" ht="13.5" customHeight="1">
      <c r="B251" s="8"/>
      <c r="C251" s="8"/>
      <c r="G251" s="8"/>
      <c r="H251" s="8"/>
      <c r="I251" s="15"/>
      <c r="K251" s="20"/>
      <c r="L251" s="15"/>
      <c r="M251" s="17"/>
      <c r="N251" s="18"/>
      <c r="O251" s="19"/>
      <c r="P251" s="8"/>
      <c r="Q251" s="8"/>
      <c r="R251" s="15"/>
    </row>
    <row r="252" ht="13.5" customHeight="1">
      <c r="B252" s="8"/>
      <c r="C252" s="8"/>
      <c r="G252" s="8"/>
      <c r="H252" s="8"/>
      <c r="I252" s="15"/>
      <c r="K252" s="20"/>
      <c r="L252" s="15"/>
      <c r="M252" s="17"/>
      <c r="N252" s="18"/>
      <c r="O252" s="19"/>
      <c r="P252" s="8"/>
      <c r="Q252" s="8"/>
      <c r="R252" s="15"/>
    </row>
    <row r="253" ht="13.5" customHeight="1">
      <c r="B253" s="8"/>
      <c r="C253" s="8"/>
      <c r="G253" s="8"/>
      <c r="H253" s="8"/>
      <c r="I253" s="15"/>
      <c r="K253" s="20"/>
      <c r="L253" s="15"/>
      <c r="M253" s="17"/>
      <c r="N253" s="18"/>
      <c r="O253" s="19"/>
      <c r="P253" s="8"/>
      <c r="Q253" s="8"/>
      <c r="R253" s="15"/>
    </row>
    <row r="254" ht="13.5" customHeight="1">
      <c r="B254" s="8"/>
      <c r="C254" s="8"/>
      <c r="G254" s="8"/>
      <c r="H254" s="8"/>
      <c r="I254" s="15"/>
      <c r="K254" s="20"/>
      <c r="L254" s="15"/>
      <c r="M254" s="17"/>
      <c r="N254" s="18"/>
      <c r="O254" s="19"/>
      <c r="P254" s="8"/>
      <c r="Q254" s="8"/>
      <c r="R254" s="15"/>
    </row>
    <row r="255" ht="13.5" customHeight="1">
      <c r="B255" s="8"/>
      <c r="C255" s="8"/>
      <c r="G255" s="8"/>
      <c r="H255" s="8"/>
      <c r="I255" s="15"/>
      <c r="K255" s="20"/>
      <c r="L255" s="15"/>
      <c r="M255" s="17"/>
      <c r="N255" s="18"/>
      <c r="O255" s="19"/>
      <c r="P255" s="8"/>
      <c r="Q255" s="8"/>
      <c r="R255" s="15"/>
    </row>
    <row r="256" ht="13.5" customHeight="1">
      <c r="B256" s="8"/>
      <c r="C256" s="8"/>
      <c r="G256" s="8"/>
      <c r="H256" s="8"/>
      <c r="I256" s="15"/>
      <c r="K256" s="20"/>
      <c r="L256" s="15"/>
      <c r="M256" s="17"/>
      <c r="N256" s="18"/>
      <c r="O256" s="19"/>
      <c r="P256" s="8"/>
      <c r="Q256" s="8"/>
      <c r="R256" s="15"/>
    </row>
    <row r="257" ht="13.5" customHeight="1">
      <c r="B257" s="8"/>
      <c r="C257" s="8"/>
      <c r="G257" s="8"/>
      <c r="H257" s="8"/>
      <c r="I257" s="15"/>
      <c r="K257" s="20"/>
      <c r="L257" s="15"/>
      <c r="M257" s="17"/>
      <c r="N257" s="18"/>
      <c r="O257" s="19"/>
      <c r="P257" s="8"/>
      <c r="Q257" s="8"/>
      <c r="R257" s="15"/>
    </row>
    <row r="258" ht="13.5" customHeight="1">
      <c r="B258" s="8"/>
      <c r="C258" s="8"/>
      <c r="G258" s="8"/>
      <c r="H258" s="8"/>
      <c r="I258" s="15"/>
      <c r="K258" s="20"/>
      <c r="L258" s="15"/>
      <c r="M258" s="17"/>
      <c r="N258" s="18"/>
      <c r="O258" s="19"/>
      <c r="P258" s="8"/>
      <c r="Q258" s="8"/>
      <c r="R258" s="15"/>
    </row>
    <row r="259" ht="13.5" customHeight="1">
      <c r="B259" s="8"/>
      <c r="C259" s="8"/>
      <c r="G259" s="8"/>
      <c r="H259" s="8"/>
      <c r="I259" s="15"/>
      <c r="K259" s="20"/>
      <c r="L259" s="15"/>
      <c r="M259" s="17"/>
      <c r="N259" s="18"/>
      <c r="O259" s="19"/>
      <c r="P259" s="8"/>
      <c r="Q259" s="8"/>
      <c r="R259" s="15"/>
    </row>
    <row r="260" ht="13.5" customHeight="1">
      <c r="B260" s="8"/>
      <c r="C260" s="8"/>
      <c r="G260" s="8"/>
      <c r="H260" s="8"/>
      <c r="I260" s="15"/>
      <c r="K260" s="20"/>
      <c r="L260" s="15"/>
      <c r="M260" s="17"/>
      <c r="N260" s="18"/>
      <c r="O260" s="19"/>
      <c r="P260" s="8"/>
      <c r="Q260" s="8"/>
      <c r="R260" s="15"/>
    </row>
    <row r="261" ht="13.5" customHeight="1">
      <c r="B261" s="8"/>
      <c r="C261" s="8"/>
      <c r="G261" s="8"/>
      <c r="H261" s="8"/>
      <c r="I261" s="15"/>
      <c r="K261" s="20"/>
      <c r="L261" s="15"/>
      <c r="M261" s="17"/>
      <c r="N261" s="18"/>
      <c r="O261" s="19"/>
      <c r="P261" s="8"/>
      <c r="Q261" s="8"/>
      <c r="R261" s="15"/>
    </row>
    <row r="262" ht="13.5" customHeight="1">
      <c r="B262" s="8"/>
      <c r="C262" s="8"/>
      <c r="G262" s="8"/>
      <c r="H262" s="8"/>
      <c r="I262" s="15"/>
      <c r="K262" s="20"/>
      <c r="L262" s="15"/>
      <c r="M262" s="17"/>
      <c r="N262" s="18"/>
      <c r="O262" s="19"/>
      <c r="P262" s="8"/>
      <c r="Q262" s="8"/>
      <c r="R262" s="15"/>
    </row>
    <row r="263" ht="13.5" customHeight="1">
      <c r="B263" s="8"/>
      <c r="C263" s="8"/>
      <c r="G263" s="8"/>
      <c r="H263" s="8"/>
      <c r="I263" s="15"/>
      <c r="K263" s="20"/>
      <c r="L263" s="15"/>
      <c r="M263" s="17"/>
      <c r="N263" s="18"/>
      <c r="O263" s="19"/>
      <c r="P263" s="8"/>
      <c r="Q263" s="8"/>
      <c r="R263" s="15"/>
    </row>
    <row r="264" ht="13.5" customHeight="1">
      <c r="B264" s="8"/>
      <c r="C264" s="8"/>
      <c r="G264" s="8"/>
      <c r="H264" s="8"/>
      <c r="I264" s="15"/>
      <c r="K264" s="20"/>
      <c r="L264" s="15"/>
      <c r="M264" s="17"/>
      <c r="N264" s="18"/>
      <c r="O264" s="19"/>
      <c r="P264" s="8"/>
      <c r="Q264" s="8"/>
      <c r="R264" s="15"/>
    </row>
    <row r="265" ht="13.5" customHeight="1">
      <c r="B265" s="8"/>
      <c r="C265" s="8"/>
      <c r="G265" s="8"/>
      <c r="H265" s="8"/>
      <c r="I265" s="15"/>
      <c r="K265" s="20"/>
      <c r="L265" s="15"/>
      <c r="M265" s="17"/>
      <c r="N265" s="18"/>
      <c r="O265" s="19"/>
      <c r="P265" s="8"/>
      <c r="Q265" s="8"/>
      <c r="R265" s="15"/>
    </row>
    <row r="266" ht="13.5" customHeight="1">
      <c r="B266" s="8"/>
      <c r="C266" s="8"/>
      <c r="G266" s="8"/>
      <c r="H266" s="8"/>
      <c r="I266" s="15"/>
      <c r="K266" s="20"/>
      <c r="L266" s="15"/>
      <c r="M266" s="17"/>
      <c r="N266" s="18"/>
      <c r="O266" s="19"/>
      <c r="P266" s="8"/>
      <c r="Q266" s="8"/>
      <c r="R266" s="15"/>
    </row>
    <row r="267" ht="13.5" customHeight="1">
      <c r="B267" s="8"/>
      <c r="C267" s="8"/>
      <c r="G267" s="8"/>
      <c r="H267" s="8"/>
      <c r="I267" s="15"/>
      <c r="K267" s="20"/>
      <c r="L267" s="15"/>
      <c r="M267" s="17"/>
      <c r="N267" s="18"/>
      <c r="O267" s="19"/>
      <c r="P267" s="8"/>
      <c r="Q267" s="8"/>
      <c r="R267" s="15"/>
    </row>
    <row r="268" ht="13.5" customHeight="1">
      <c r="B268" s="8"/>
      <c r="C268" s="8"/>
      <c r="G268" s="8"/>
      <c r="H268" s="8"/>
      <c r="I268" s="15"/>
      <c r="K268" s="20"/>
      <c r="L268" s="15"/>
      <c r="M268" s="17"/>
      <c r="N268" s="18"/>
      <c r="O268" s="19"/>
      <c r="P268" s="8"/>
      <c r="Q268" s="8"/>
      <c r="R268" s="15"/>
    </row>
    <row r="269" ht="13.5" customHeight="1">
      <c r="B269" s="8"/>
      <c r="C269" s="8"/>
      <c r="G269" s="8"/>
      <c r="H269" s="8"/>
      <c r="I269" s="15"/>
      <c r="K269" s="20"/>
      <c r="L269" s="15"/>
      <c r="M269" s="17"/>
      <c r="N269" s="18"/>
      <c r="O269" s="19"/>
      <c r="P269" s="8"/>
      <c r="Q269" s="8"/>
      <c r="R269" s="15"/>
    </row>
    <row r="270" ht="13.5" customHeight="1">
      <c r="B270" s="8"/>
      <c r="C270" s="8"/>
      <c r="G270" s="8"/>
      <c r="H270" s="8"/>
      <c r="I270" s="15"/>
      <c r="K270" s="20"/>
      <c r="L270" s="15"/>
      <c r="M270" s="17"/>
      <c r="N270" s="18"/>
      <c r="O270" s="19"/>
      <c r="P270" s="8"/>
      <c r="Q270" s="8"/>
      <c r="R270" s="15"/>
    </row>
    <row r="271" ht="13.5" customHeight="1">
      <c r="B271" s="8"/>
      <c r="C271" s="8"/>
      <c r="G271" s="8"/>
      <c r="H271" s="8"/>
      <c r="I271" s="15"/>
      <c r="K271" s="20"/>
      <c r="L271" s="15"/>
      <c r="M271" s="17"/>
      <c r="N271" s="18"/>
      <c r="O271" s="19"/>
      <c r="P271" s="8"/>
      <c r="Q271" s="8"/>
      <c r="R271" s="15"/>
    </row>
    <row r="272" ht="13.5" customHeight="1">
      <c r="B272" s="8"/>
      <c r="C272" s="8"/>
      <c r="G272" s="8"/>
      <c r="H272" s="8"/>
      <c r="I272" s="15"/>
      <c r="K272" s="20"/>
      <c r="L272" s="15"/>
      <c r="M272" s="17"/>
      <c r="N272" s="18"/>
      <c r="O272" s="19"/>
      <c r="P272" s="8"/>
      <c r="Q272" s="8"/>
      <c r="R272" s="15"/>
    </row>
    <row r="273" ht="13.5" customHeight="1">
      <c r="B273" s="8"/>
      <c r="C273" s="8"/>
      <c r="G273" s="8"/>
      <c r="H273" s="8"/>
      <c r="I273" s="15"/>
      <c r="K273" s="20"/>
      <c r="L273" s="15"/>
      <c r="M273" s="17"/>
      <c r="N273" s="18"/>
      <c r="O273" s="19"/>
      <c r="P273" s="8"/>
      <c r="Q273" s="8"/>
      <c r="R273" s="15"/>
    </row>
    <row r="274" ht="13.5" customHeight="1">
      <c r="B274" s="8"/>
      <c r="C274" s="8"/>
      <c r="G274" s="8"/>
      <c r="H274" s="8"/>
      <c r="I274" s="15"/>
      <c r="K274" s="20"/>
      <c r="L274" s="15"/>
      <c r="M274" s="17"/>
      <c r="N274" s="18"/>
      <c r="O274" s="19"/>
      <c r="P274" s="8"/>
      <c r="Q274" s="8"/>
      <c r="R274" s="15"/>
    </row>
    <row r="275" ht="13.5" customHeight="1">
      <c r="B275" s="8"/>
      <c r="C275" s="8"/>
      <c r="G275" s="8"/>
      <c r="H275" s="8"/>
      <c r="I275" s="15"/>
      <c r="K275" s="20"/>
      <c r="L275" s="15"/>
      <c r="M275" s="17"/>
      <c r="N275" s="18"/>
      <c r="O275" s="19"/>
      <c r="P275" s="8"/>
      <c r="Q275" s="8"/>
      <c r="R275" s="15"/>
    </row>
    <row r="276" ht="13.5" customHeight="1">
      <c r="B276" s="8"/>
      <c r="C276" s="8"/>
      <c r="G276" s="8"/>
      <c r="H276" s="8"/>
      <c r="I276" s="15"/>
      <c r="K276" s="20"/>
      <c r="L276" s="15"/>
      <c r="M276" s="17"/>
      <c r="N276" s="18"/>
      <c r="O276" s="19"/>
      <c r="P276" s="8"/>
      <c r="Q276" s="8"/>
      <c r="R276" s="15"/>
    </row>
    <row r="277" ht="13.5" customHeight="1">
      <c r="B277" s="8"/>
      <c r="C277" s="8"/>
      <c r="G277" s="8"/>
      <c r="H277" s="8"/>
      <c r="I277" s="15"/>
      <c r="K277" s="20"/>
      <c r="L277" s="15"/>
      <c r="M277" s="17"/>
      <c r="N277" s="18"/>
      <c r="O277" s="19"/>
      <c r="P277" s="8"/>
      <c r="Q277" s="8"/>
      <c r="R277" s="15"/>
    </row>
    <row r="278" ht="13.5" customHeight="1">
      <c r="B278" s="8"/>
      <c r="C278" s="8"/>
      <c r="G278" s="8"/>
      <c r="H278" s="8"/>
      <c r="I278" s="15"/>
      <c r="K278" s="20"/>
      <c r="L278" s="15"/>
      <c r="M278" s="17"/>
      <c r="N278" s="18"/>
      <c r="O278" s="19"/>
      <c r="P278" s="8"/>
      <c r="Q278" s="8"/>
      <c r="R278" s="15"/>
    </row>
    <row r="279" ht="13.5" customHeight="1">
      <c r="B279" s="8"/>
      <c r="C279" s="8"/>
      <c r="G279" s="8"/>
      <c r="H279" s="8"/>
      <c r="I279" s="15"/>
      <c r="K279" s="20"/>
      <c r="L279" s="15"/>
      <c r="M279" s="17"/>
      <c r="N279" s="18"/>
      <c r="O279" s="19"/>
      <c r="P279" s="8"/>
      <c r="Q279" s="8"/>
      <c r="R279" s="15"/>
    </row>
    <row r="280" ht="13.5" customHeight="1">
      <c r="B280" s="8"/>
      <c r="C280" s="8"/>
      <c r="G280" s="8"/>
      <c r="H280" s="8"/>
      <c r="I280" s="15"/>
      <c r="K280" s="20"/>
      <c r="L280" s="15"/>
      <c r="M280" s="17"/>
      <c r="N280" s="18"/>
      <c r="O280" s="19"/>
      <c r="P280" s="8"/>
      <c r="Q280" s="8"/>
      <c r="R280" s="15"/>
    </row>
    <row r="281" ht="13.5" customHeight="1">
      <c r="B281" s="8"/>
      <c r="C281" s="8"/>
      <c r="G281" s="8"/>
      <c r="H281" s="8"/>
      <c r="I281" s="15"/>
      <c r="K281" s="20"/>
      <c r="L281" s="15"/>
      <c r="M281" s="17"/>
      <c r="N281" s="18"/>
      <c r="O281" s="19"/>
      <c r="P281" s="8"/>
      <c r="Q281" s="8"/>
      <c r="R281" s="15"/>
    </row>
    <row r="282" ht="13.5" customHeight="1">
      <c r="B282" s="8"/>
      <c r="C282" s="8"/>
      <c r="G282" s="8"/>
      <c r="H282" s="8"/>
      <c r="I282" s="15"/>
      <c r="K282" s="20"/>
      <c r="L282" s="15"/>
      <c r="M282" s="17"/>
      <c r="N282" s="18"/>
      <c r="O282" s="19"/>
      <c r="P282" s="8"/>
      <c r="Q282" s="8"/>
      <c r="R282" s="15"/>
    </row>
    <row r="283" ht="13.5" customHeight="1">
      <c r="B283" s="8"/>
      <c r="C283" s="8"/>
      <c r="G283" s="8"/>
      <c r="H283" s="8"/>
      <c r="I283" s="15"/>
      <c r="K283" s="20"/>
      <c r="L283" s="15"/>
      <c r="M283" s="17"/>
      <c r="N283" s="18"/>
      <c r="O283" s="19"/>
      <c r="P283" s="8"/>
      <c r="Q283" s="8"/>
      <c r="R283" s="15"/>
    </row>
    <row r="284" ht="13.5" customHeight="1">
      <c r="B284" s="8"/>
      <c r="C284" s="8"/>
      <c r="G284" s="8"/>
      <c r="H284" s="8"/>
      <c r="I284" s="15"/>
      <c r="K284" s="20"/>
      <c r="L284" s="15"/>
      <c r="M284" s="17"/>
      <c r="N284" s="18"/>
      <c r="O284" s="19"/>
      <c r="P284" s="8"/>
      <c r="Q284" s="8"/>
      <c r="R284" s="15"/>
    </row>
    <row r="285" ht="13.5" customHeight="1">
      <c r="B285" s="8"/>
      <c r="C285" s="8"/>
      <c r="G285" s="8"/>
      <c r="H285" s="8"/>
      <c r="I285" s="15"/>
      <c r="K285" s="20"/>
      <c r="L285" s="15"/>
      <c r="M285" s="17"/>
      <c r="N285" s="18"/>
      <c r="O285" s="19"/>
      <c r="P285" s="8"/>
      <c r="Q285" s="8"/>
      <c r="R285" s="15"/>
    </row>
    <row r="286" ht="13.5" customHeight="1">
      <c r="B286" s="8"/>
      <c r="C286" s="8"/>
      <c r="G286" s="8"/>
      <c r="H286" s="8"/>
      <c r="I286" s="15"/>
      <c r="K286" s="20"/>
      <c r="L286" s="15"/>
      <c r="M286" s="17"/>
      <c r="N286" s="18"/>
      <c r="O286" s="19"/>
      <c r="P286" s="8"/>
      <c r="Q286" s="8"/>
      <c r="R286" s="15"/>
    </row>
    <row r="287" ht="13.5" customHeight="1">
      <c r="B287" s="8"/>
      <c r="C287" s="8"/>
      <c r="G287" s="8"/>
      <c r="H287" s="8"/>
      <c r="I287" s="15"/>
      <c r="K287" s="20"/>
      <c r="L287" s="15"/>
      <c r="M287" s="17"/>
      <c r="N287" s="18"/>
      <c r="O287" s="19"/>
      <c r="P287" s="8"/>
      <c r="Q287" s="8"/>
      <c r="R287" s="15"/>
    </row>
    <row r="288" ht="13.5" customHeight="1">
      <c r="B288" s="8"/>
      <c r="C288" s="8"/>
      <c r="G288" s="8"/>
      <c r="H288" s="8"/>
      <c r="I288" s="15"/>
      <c r="K288" s="20"/>
      <c r="L288" s="15"/>
      <c r="M288" s="17"/>
      <c r="N288" s="18"/>
      <c r="O288" s="19"/>
      <c r="P288" s="8"/>
      <c r="Q288" s="8"/>
      <c r="R288" s="15"/>
    </row>
    <row r="289" ht="13.5" customHeight="1">
      <c r="B289" s="8"/>
      <c r="C289" s="8"/>
      <c r="G289" s="8"/>
      <c r="H289" s="8"/>
      <c r="I289" s="15"/>
      <c r="K289" s="20"/>
      <c r="L289" s="15"/>
      <c r="M289" s="17"/>
      <c r="N289" s="18"/>
      <c r="O289" s="19"/>
      <c r="P289" s="8"/>
      <c r="Q289" s="8"/>
      <c r="R289" s="15"/>
    </row>
    <row r="290" ht="13.5" customHeight="1">
      <c r="B290" s="8"/>
      <c r="C290" s="8"/>
      <c r="G290" s="8"/>
      <c r="H290" s="8"/>
      <c r="I290" s="15"/>
      <c r="K290" s="20"/>
      <c r="L290" s="15"/>
      <c r="M290" s="17"/>
      <c r="N290" s="18"/>
      <c r="O290" s="19"/>
      <c r="P290" s="8"/>
      <c r="Q290" s="8"/>
      <c r="R290" s="15"/>
    </row>
    <row r="291" ht="13.5" customHeight="1">
      <c r="B291" s="8"/>
      <c r="C291" s="8"/>
      <c r="G291" s="8"/>
      <c r="H291" s="8"/>
      <c r="I291" s="15"/>
      <c r="K291" s="20"/>
      <c r="L291" s="15"/>
      <c r="M291" s="17"/>
      <c r="N291" s="18"/>
      <c r="O291" s="19"/>
      <c r="P291" s="8"/>
      <c r="Q291" s="8"/>
      <c r="R291" s="15"/>
    </row>
    <row r="292" ht="13.5" customHeight="1">
      <c r="B292" s="8"/>
      <c r="C292" s="8"/>
      <c r="G292" s="8"/>
      <c r="H292" s="8"/>
      <c r="I292" s="15"/>
      <c r="K292" s="20"/>
      <c r="L292" s="15"/>
      <c r="M292" s="17"/>
      <c r="N292" s="18"/>
      <c r="O292" s="19"/>
      <c r="P292" s="8"/>
      <c r="Q292" s="8"/>
      <c r="R292" s="15"/>
    </row>
    <row r="293" ht="13.5" customHeight="1">
      <c r="B293" s="8"/>
      <c r="C293" s="8"/>
      <c r="G293" s="8"/>
      <c r="H293" s="8"/>
      <c r="I293" s="15"/>
      <c r="K293" s="20"/>
      <c r="L293" s="15"/>
      <c r="M293" s="17"/>
      <c r="N293" s="18"/>
      <c r="O293" s="19"/>
      <c r="P293" s="8"/>
      <c r="Q293" s="8"/>
      <c r="R293" s="15"/>
    </row>
    <row r="294" ht="13.5" customHeight="1">
      <c r="B294" s="8"/>
      <c r="C294" s="8"/>
      <c r="G294" s="8"/>
      <c r="H294" s="8"/>
      <c r="I294" s="15"/>
      <c r="K294" s="20"/>
      <c r="L294" s="15"/>
      <c r="M294" s="17"/>
      <c r="N294" s="18"/>
      <c r="O294" s="19"/>
      <c r="P294" s="8"/>
      <c r="Q294" s="8"/>
      <c r="R294" s="15"/>
    </row>
    <row r="295" ht="13.5" customHeight="1">
      <c r="B295" s="8"/>
      <c r="C295" s="8"/>
      <c r="G295" s="8"/>
      <c r="H295" s="8"/>
      <c r="I295" s="15"/>
      <c r="K295" s="20"/>
      <c r="L295" s="15"/>
      <c r="M295" s="17"/>
      <c r="N295" s="18"/>
      <c r="O295" s="19"/>
      <c r="P295" s="8"/>
      <c r="Q295" s="8"/>
      <c r="R295" s="15"/>
    </row>
    <row r="296" ht="13.5" customHeight="1">
      <c r="B296" s="8"/>
      <c r="C296" s="8"/>
      <c r="G296" s="8"/>
      <c r="H296" s="8"/>
      <c r="I296" s="15"/>
      <c r="K296" s="20"/>
      <c r="L296" s="15"/>
      <c r="M296" s="17"/>
      <c r="N296" s="18"/>
      <c r="O296" s="19"/>
      <c r="P296" s="8"/>
      <c r="Q296" s="8"/>
      <c r="R296" s="15"/>
    </row>
    <row r="297" ht="13.5" customHeight="1">
      <c r="B297" s="8"/>
      <c r="C297" s="8"/>
      <c r="G297" s="8"/>
      <c r="H297" s="8"/>
      <c r="I297" s="15"/>
      <c r="K297" s="20"/>
      <c r="L297" s="15"/>
      <c r="M297" s="17"/>
      <c r="N297" s="18"/>
      <c r="O297" s="19"/>
      <c r="P297" s="8"/>
      <c r="Q297" s="8"/>
      <c r="R297" s="15"/>
    </row>
    <row r="298" ht="13.5" customHeight="1">
      <c r="B298" s="8"/>
      <c r="C298" s="8"/>
      <c r="G298" s="8"/>
      <c r="H298" s="8"/>
      <c r="I298" s="15"/>
      <c r="K298" s="20"/>
      <c r="L298" s="15"/>
      <c r="M298" s="17"/>
      <c r="N298" s="18"/>
      <c r="O298" s="19"/>
      <c r="P298" s="8"/>
      <c r="Q298" s="8"/>
      <c r="R298" s="15"/>
    </row>
    <row r="299" ht="13.5" customHeight="1">
      <c r="B299" s="8"/>
      <c r="C299" s="8"/>
      <c r="G299" s="8"/>
      <c r="H299" s="8"/>
      <c r="I299" s="15"/>
      <c r="K299" s="20"/>
      <c r="L299" s="15"/>
      <c r="M299" s="17"/>
      <c r="N299" s="18"/>
      <c r="O299" s="19"/>
      <c r="P299" s="8"/>
      <c r="Q299" s="8"/>
      <c r="R299" s="15"/>
    </row>
    <row r="300" ht="13.5" customHeight="1">
      <c r="B300" s="8"/>
      <c r="C300" s="8"/>
      <c r="G300" s="8"/>
      <c r="H300" s="8"/>
      <c r="I300" s="15"/>
      <c r="K300" s="20"/>
      <c r="L300" s="15"/>
      <c r="M300" s="17"/>
      <c r="N300" s="18"/>
      <c r="O300" s="19"/>
      <c r="P300" s="8"/>
      <c r="Q300" s="8"/>
      <c r="R300" s="15"/>
    </row>
    <row r="301" ht="13.5" customHeight="1">
      <c r="B301" s="8"/>
      <c r="C301" s="8"/>
      <c r="G301" s="8"/>
      <c r="H301" s="8"/>
      <c r="I301" s="15"/>
      <c r="K301" s="20"/>
      <c r="L301" s="15"/>
      <c r="M301" s="17"/>
      <c r="N301" s="18"/>
      <c r="O301" s="19"/>
      <c r="P301" s="8"/>
      <c r="Q301" s="8"/>
      <c r="R301" s="15"/>
    </row>
    <row r="302" ht="13.5" customHeight="1">
      <c r="B302" s="8"/>
      <c r="C302" s="8"/>
      <c r="G302" s="8"/>
      <c r="H302" s="8"/>
      <c r="I302" s="15"/>
      <c r="K302" s="20"/>
      <c r="L302" s="15"/>
      <c r="M302" s="17"/>
      <c r="N302" s="18"/>
      <c r="O302" s="19"/>
      <c r="P302" s="8"/>
      <c r="Q302" s="8"/>
      <c r="R302" s="15"/>
    </row>
    <row r="303" ht="13.5" customHeight="1">
      <c r="B303" s="8"/>
      <c r="C303" s="8"/>
      <c r="G303" s="8"/>
      <c r="H303" s="8"/>
      <c r="I303" s="15"/>
      <c r="K303" s="20"/>
      <c r="L303" s="15"/>
      <c r="M303" s="17"/>
      <c r="N303" s="18"/>
      <c r="O303" s="19"/>
      <c r="P303" s="8"/>
      <c r="Q303" s="8"/>
      <c r="R303" s="15"/>
    </row>
    <row r="304" ht="13.5" customHeight="1">
      <c r="B304" s="8"/>
      <c r="C304" s="8"/>
      <c r="G304" s="8"/>
      <c r="H304" s="8"/>
      <c r="I304" s="15"/>
      <c r="K304" s="20"/>
      <c r="L304" s="15"/>
      <c r="M304" s="17"/>
      <c r="N304" s="18"/>
      <c r="O304" s="19"/>
      <c r="P304" s="8"/>
      <c r="Q304" s="8"/>
      <c r="R304" s="15"/>
    </row>
    <row r="305" ht="13.5" customHeight="1">
      <c r="B305" s="8"/>
      <c r="C305" s="8"/>
      <c r="G305" s="8"/>
      <c r="H305" s="8"/>
      <c r="I305" s="15"/>
      <c r="K305" s="20"/>
      <c r="L305" s="15"/>
      <c r="M305" s="17"/>
      <c r="N305" s="18"/>
      <c r="O305" s="19"/>
      <c r="P305" s="8"/>
      <c r="Q305" s="8"/>
      <c r="R305" s="15"/>
    </row>
    <row r="306" ht="13.5" customHeight="1">
      <c r="B306" s="8"/>
      <c r="C306" s="8"/>
      <c r="G306" s="8"/>
      <c r="H306" s="8"/>
      <c r="I306" s="15"/>
      <c r="K306" s="20"/>
      <c r="L306" s="15"/>
      <c r="M306" s="17"/>
      <c r="N306" s="18"/>
      <c r="O306" s="19"/>
      <c r="P306" s="8"/>
      <c r="Q306" s="8"/>
      <c r="R306" s="15"/>
    </row>
    <row r="307" ht="13.5" customHeight="1">
      <c r="B307" s="8"/>
      <c r="C307" s="8"/>
      <c r="G307" s="8"/>
      <c r="H307" s="8"/>
      <c r="I307" s="15"/>
      <c r="K307" s="20"/>
      <c r="L307" s="15"/>
      <c r="M307" s="17"/>
      <c r="N307" s="18"/>
      <c r="O307" s="19"/>
      <c r="P307" s="8"/>
      <c r="Q307" s="8"/>
      <c r="R307" s="15"/>
    </row>
    <row r="308" ht="13.5" customHeight="1">
      <c r="B308" s="8"/>
      <c r="C308" s="8"/>
      <c r="G308" s="8"/>
      <c r="H308" s="8"/>
      <c r="I308" s="15"/>
      <c r="K308" s="20"/>
      <c r="L308" s="15"/>
      <c r="M308" s="17"/>
      <c r="N308" s="18"/>
      <c r="O308" s="19"/>
      <c r="P308" s="8"/>
      <c r="Q308" s="8"/>
      <c r="R308" s="15"/>
    </row>
    <row r="309" ht="13.5" customHeight="1">
      <c r="B309" s="8"/>
      <c r="C309" s="8"/>
      <c r="G309" s="8"/>
      <c r="H309" s="8"/>
      <c r="I309" s="15"/>
      <c r="K309" s="20"/>
      <c r="L309" s="15"/>
      <c r="M309" s="17"/>
      <c r="N309" s="18"/>
      <c r="O309" s="19"/>
      <c r="P309" s="8"/>
      <c r="Q309" s="8"/>
      <c r="R309" s="15"/>
    </row>
    <row r="310" ht="13.5" customHeight="1">
      <c r="B310" s="8"/>
      <c r="C310" s="8"/>
      <c r="G310" s="8"/>
      <c r="H310" s="8"/>
      <c r="I310" s="15"/>
      <c r="K310" s="20"/>
      <c r="L310" s="15"/>
      <c r="M310" s="17"/>
      <c r="N310" s="18"/>
      <c r="O310" s="19"/>
      <c r="P310" s="8"/>
      <c r="Q310" s="8"/>
      <c r="R310" s="15"/>
    </row>
    <row r="311" ht="13.5" customHeight="1">
      <c r="B311" s="8"/>
      <c r="C311" s="8"/>
      <c r="G311" s="8"/>
      <c r="H311" s="8"/>
      <c r="I311" s="15"/>
      <c r="K311" s="20"/>
      <c r="L311" s="15"/>
      <c r="M311" s="17"/>
      <c r="N311" s="18"/>
      <c r="O311" s="19"/>
      <c r="P311" s="8"/>
      <c r="Q311" s="8"/>
      <c r="R311" s="15"/>
    </row>
    <row r="312" ht="13.5" customHeight="1">
      <c r="B312" s="8"/>
      <c r="C312" s="8"/>
      <c r="G312" s="8"/>
      <c r="H312" s="8"/>
      <c r="I312" s="15"/>
      <c r="K312" s="20"/>
      <c r="L312" s="15"/>
      <c r="M312" s="17"/>
      <c r="N312" s="18"/>
      <c r="O312" s="19"/>
      <c r="P312" s="8"/>
      <c r="Q312" s="8"/>
      <c r="R312" s="15"/>
    </row>
    <row r="313" ht="13.5" customHeight="1">
      <c r="B313" s="8"/>
      <c r="C313" s="8"/>
      <c r="G313" s="8"/>
      <c r="H313" s="8"/>
      <c r="I313" s="15"/>
      <c r="K313" s="20"/>
      <c r="L313" s="15"/>
      <c r="M313" s="17"/>
      <c r="N313" s="18"/>
      <c r="O313" s="19"/>
      <c r="P313" s="8"/>
      <c r="Q313" s="8"/>
      <c r="R313" s="15"/>
    </row>
    <row r="314" ht="13.5" customHeight="1">
      <c r="B314" s="8"/>
      <c r="C314" s="8"/>
      <c r="G314" s="8"/>
      <c r="H314" s="8"/>
      <c r="I314" s="15"/>
      <c r="K314" s="20"/>
      <c r="L314" s="15"/>
      <c r="M314" s="17"/>
      <c r="N314" s="18"/>
      <c r="O314" s="19"/>
      <c r="P314" s="8"/>
      <c r="Q314" s="8"/>
      <c r="R314" s="15"/>
    </row>
    <row r="315" ht="13.5" customHeight="1">
      <c r="B315" s="8"/>
      <c r="C315" s="8"/>
      <c r="G315" s="8"/>
      <c r="H315" s="8"/>
      <c r="I315" s="15"/>
      <c r="K315" s="20"/>
      <c r="L315" s="15"/>
      <c r="M315" s="17"/>
      <c r="N315" s="18"/>
      <c r="O315" s="19"/>
      <c r="P315" s="8"/>
      <c r="Q315" s="8"/>
      <c r="R315" s="15"/>
    </row>
    <row r="316" ht="13.5" customHeight="1">
      <c r="B316" s="8"/>
      <c r="C316" s="8"/>
      <c r="G316" s="8"/>
      <c r="H316" s="8"/>
      <c r="I316" s="15"/>
      <c r="K316" s="20"/>
      <c r="L316" s="15"/>
      <c r="M316" s="17"/>
      <c r="N316" s="18"/>
      <c r="O316" s="19"/>
      <c r="P316" s="8"/>
      <c r="Q316" s="8"/>
      <c r="R316" s="15"/>
    </row>
    <row r="317" ht="13.5" customHeight="1">
      <c r="B317" s="8"/>
      <c r="C317" s="8"/>
      <c r="G317" s="8"/>
      <c r="H317" s="8"/>
      <c r="I317" s="15"/>
      <c r="K317" s="20"/>
      <c r="L317" s="15"/>
      <c r="M317" s="17"/>
      <c r="N317" s="18"/>
      <c r="O317" s="19"/>
      <c r="P317" s="8"/>
      <c r="Q317" s="8"/>
      <c r="R317" s="15"/>
    </row>
    <row r="318" ht="13.5" customHeight="1">
      <c r="B318" s="8"/>
      <c r="C318" s="8"/>
      <c r="G318" s="8"/>
      <c r="H318" s="8"/>
      <c r="I318" s="15"/>
      <c r="K318" s="20"/>
      <c r="L318" s="15"/>
      <c r="M318" s="17"/>
      <c r="N318" s="18"/>
      <c r="O318" s="19"/>
      <c r="P318" s="8"/>
      <c r="Q318" s="8"/>
      <c r="R318" s="15"/>
    </row>
    <row r="319" ht="13.5" customHeight="1">
      <c r="B319" s="8"/>
      <c r="C319" s="8"/>
      <c r="G319" s="8"/>
      <c r="H319" s="8"/>
      <c r="I319" s="15"/>
      <c r="K319" s="20"/>
      <c r="L319" s="15"/>
      <c r="M319" s="17"/>
      <c r="N319" s="18"/>
      <c r="O319" s="19"/>
      <c r="P319" s="8"/>
      <c r="Q319" s="8"/>
      <c r="R319" s="15"/>
    </row>
    <row r="320" ht="13.5" customHeight="1">
      <c r="B320" s="8"/>
      <c r="C320" s="8"/>
      <c r="G320" s="8"/>
      <c r="H320" s="8"/>
      <c r="I320" s="15"/>
      <c r="K320" s="20"/>
      <c r="L320" s="15"/>
      <c r="M320" s="17"/>
      <c r="N320" s="18"/>
      <c r="O320" s="19"/>
      <c r="P320" s="8"/>
      <c r="Q320" s="8"/>
      <c r="R320" s="15"/>
    </row>
    <row r="321" ht="13.5" customHeight="1">
      <c r="B321" s="8"/>
      <c r="C321" s="8"/>
      <c r="G321" s="8"/>
      <c r="H321" s="8"/>
      <c r="I321" s="15"/>
      <c r="K321" s="20"/>
      <c r="L321" s="15"/>
      <c r="M321" s="17"/>
      <c r="N321" s="18"/>
      <c r="O321" s="19"/>
      <c r="P321" s="8"/>
      <c r="Q321" s="8"/>
      <c r="R321" s="15"/>
    </row>
    <row r="322" ht="13.5" customHeight="1">
      <c r="B322" s="8"/>
      <c r="C322" s="8"/>
      <c r="G322" s="8"/>
      <c r="H322" s="8"/>
      <c r="I322" s="15"/>
      <c r="K322" s="20"/>
      <c r="L322" s="15"/>
      <c r="M322" s="17"/>
      <c r="N322" s="18"/>
      <c r="O322" s="19"/>
      <c r="P322" s="8"/>
      <c r="Q322" s="8"/>
      <c r="R322" s="15"/>
    </row>
    <row r="323" ht="13.5" customHeight="1">
      <c r="B323" s="8"/>
      <c r="C323" s="8"/>
      <c r="G323" s="8"/>
      <c r="H323" s="8"/>
      <c r="I323" s="15"/>
      <c r="K323" s="20"/>
      <c r="L323" s="15"/>
      <c r="M323" s="17"/>
      <c r="N323" s="18"/>
      <c r="O323" s="19"/>
      <c r="P323" s="8"/>
      <c r="Q323" s="8"/>
      <c r="R323" s="15"/>
    </row>
    <row r="324" ht="13.5" customHeight="1">
      <c r="B324" s="8"/>
      <c r="C324" s="8"/>
      <c r="G324" s="8"/>
      <c r="H324" s="8"/>
      <c r="I324" s="15"/>
      <c r="K324" s="20"/>
      <c r="L324" s="15"/>
      <c r="M324" s="17"/>
      <c r="N324" s="18"/>
      <c r="O324" s="19"/>
      <c r="P324" s="8"/>
      <c r="Q324" s="8"/>
      <c r="R324" s="15"/>
    </row>
    <row r="325" ht="13.5" customHeight="1">
      <c r="B325" s="8"/>
      <c r="C325" s="8"/>
      <c r="G325" s="8"/>
      <c r="H325" s="8"/>
      <c r="I325" s="15"/>
      <c r="K325" s="20"/>
      <c r="L325" s="15"/>
      <c r="M325" s="17"/>
      <c r="N325" s="18"/>
      <c r="O325" s="19"/>
      <c r="P325" s="8"/>
      <c r="Q325" s="8"/>
      <c r="R325" s="15"/>
    </row>
    <row r="326" ht="13.5" customHeight="1">
      <c r="B326" s="8"/>
      <c r="C326" s="8"/>
      <c r="G326" s="8"/>
      <c r="H326" s="8"/>
      <c r="I326" s="15"/>
      <c r="K326" s="20"/>
      <c r="L326" s="15"/>
      <c r="M326" s="17"/>
      <c r="N326" s="18"/>
      <c r="O326" s="19"/>
      <c r="P326" s="8"/>
      <c r="Q326" s="8"/>
      <c r="R326" s="15"/>
    </row>
    <row r="327" ht="13.5" customHeight="1">
      <c r="B327" s="8"/>
      <c r="C327" s="8"/>
      <c r="G327" s="8"/>
      <c r="H327" s="8"/>
      <c r="I327" s="15"/>
      <c r="K327" s="20"/>
      <c r="L327" s="15"/>
      <c r="M327" s="17"/>
      <c r="N327" s="18"/>
      <c r="O327" s="19"/>
      <c r="P327" s="8"/>
      <c r="Q327" s="8"/>
      <c r="R327" s="15"/>
    </row>
    <row r="328" ht="13.5" customHeight="1">
      <c r="B328" s="8"/>
      <c r="C328" s="8"/>
      <c r="G328" s="8"/>
      <c r="H328" s="8"/>
      <c r="I328" s="15"/>
      <c r="K328" s="20"/>
      <c r="L328" s="15"/>
      <c r="M328" s="17"/>
      <c r="N328" s="18"/>
      <c r="O328" s="19"/>
      <c r="P328" s="8"/>
      <c r="Q328" s="8"/>
      <c r="R328" s="15"/>
    </row>
    <row r="329" ht="13.5" customHeight="1">
      <c r="B329" s="8"/>
      <c r="C329" s="8"/>
      <c r="G329" s="8"/>
      <c r="H329" s="8"/>
      <c r="I329" s="15"/>
      <c r="K329" s="20"/>
      <c r="L329" s="15"/>
      <c r="M329" s="17"/>
      <c r="N329" s="18"/>
      <c r="O329" s="19"/>
      <c r="P329" s="8"/>
      <c r="Q329" s="8"/>
      <c r="R329" s="15"/>
    </row>
    <row r="330" ht="13.5" customHeight="1">
      <c r="B330" s="8"/>
      <c r="C330" s="8"/>
      <c r="G330" s="8"/>
      <c r="H330" s="8"/>
      <c r="I330" s="15"/>
      <c r="K330" s="20"/>
      <c r="L330" s="15"/>
      <c r="M330" s="17"/>
      <c r="N330" s="18"/>
      <c r="O330" s="19"/>
      <c r="P330" s="8"/>
      <c r="Q330" s="8"/>
      <c r="R330" s="15"/>
    </row>
    <row r="331" ht="13.5" customHeight="1">
      <c r="B331" s="8"/>
      <c r="C331" s="8"/>
      <c r="G331" s="8"/>
      <c r="H331" s="8"/>
      <c r="I331" s="15"/>
      <c r="K331" s="20"/>
      <c r="L331" s="15"/>
      <c r="M331" s="17"/>
      <c r="N331" s="18"/>
      <c r="O331" s="19"/>
      <c r="P331" s="8"/>
      <c r="Q331" s="8"/>
      <c r="R331" s="15"/>
    </row>
    <row r="332" ht="13.5" customHeight="1">
      <c r="B332" s="8"/>
      <c r="C332" s="8"/>
      <c r="G332" s="8"/>
      <c r="H332" s="8"/>
      <c r="I332" s="15"/>
      <c r="K332" s="20"/>
      <c r="L332" s="15"/>
      <c r="M332" s="17"/>
      <c r="N332" s="18"/>
      <c r="O332" s="19"/>
      <c r="P332" s="8"/>
      <c r="Q332" s="8"/>
      <c r="R332" s="15"/>
    </row>
    <row r="333" ht="13.5" customHeight="1">
      <c r="B333" s="8"/>
      <c r="C333" s="8"/>
      <c r="G333" s="8"/>
      <c r="H333" s="8"/>
      <c r="I333" s="15"/>
      <c r="K333" s="20"/>
      <c r="L333" s="15"/>
      <c r="M333" s="17"/>
      <c r="N333" s="18"/>
      <c r="O333" s="19"/>
      <c r="P333" s="8"/>
      <c r="Q333" s="8"/>
      <c r="R333" s="15"/>
    </row>
    <row r="334" ht="13.5" customHeight="1">
      <c r="B334" s="8"/>
      <c r="C334" s="8"/>
      <c r="G334" s="8"/>
      <c r="H334" s="8"/>
      <c r="I334" s="15"/>
      <c r="K334" s="20"/>
      <c r="L334" s="15"/>
      <c r="M334" s="17"/>
      <c r="N334" s="18"/>
      <c r="O334" s="19"/>
      <c r="P334" s="8"/>
      <c r="Q334" s="8"/>
      <c r="R334" s="15"/>
    </row>
    <row r="335" ht="13.5" customHeight="1">
      <c r="B335" s="8"/>
      <c r="C335" s="8"/>
      <c r="G335" s="8"/>
      <c r="H335" s="8"/>
      <c r="I335" s="15"/>
      <c r="K335" s="20"/>
      <c r="L335" s="15"/>
      <c r="M335" s="17"/>
      <c r="N335" s="18"/>
      <c r="O335" s="19"/>
      <c r="P335" s="8"/>
      <c r="Q335" s="8"/>
      <c r="R335" s="15"/>
    </row>
    <row r="336" ht="13.5" customHeight="1">
      <c r="B336" s="8"/>
      <c r="C336" s="8"/>
      <c r="G336" s="8"/>
      <c r="H336" s="8"/>
      <c r="I336" s="15"/>
      <c r="K336" s="20"/>
      <c r="L336" s="15"/>
      <c r="M336" s="17"/>
      <c r="N336" s="18"/>
      <c r="O336" s="19"/>
      <c r="P336" s="8"/>
      <c r="Q336" s="8"/>
      <c r="R336" s="15"/>
    </row>
    <row r="337" ht="13.5" customHeight="1">
      <c r="B337" s="8"/>
      <c r="C337" s="8"/>
      <c r="G337" s="8"/>
      <c r="H337" s="8"/>
      <c r="I337" s="15"/>
      <c r="K337" s="20"/>
      <c r="L337" s="15"/>
      <c r="M337" s="17"/>
      <c r="N337" s="18"/>
      <c r="O337" s="19"/>
      <c r="P337" s="8"/>
      <c r="Q337" s="8"/>
      <c r="R337" s="15"/>
    </row>
    <row r="338" ht="13.5" customHeight="1">
      <c r="B338" s="8"/>
      <c r="C338" s="8"/>
      <c r="G338" s="8"/>
      <c r="H338" s="8"/>
      <c r="I338" s="15"/>
      <c r="K338" s="20"/>
      <c r="L338" s="15"/>
      <c r="M338" s="17"/>
      <c r="N338" s="18"/>
      <c r="O338" s="19"/>
      <c r="P338" s="8"/>
      <c r="Q338" s="8"/>
      <c r="R338" s="15"/>
    </row>
    <row r="339" ht="13.5" customHeight="1">
      <c r="B339" s="8"/>
      <c r="C339" s="8"/>
      <c r="G339" s="8"/>
      <c r="H339" s="8"/>
      <c r="I339" s="15"/>
      <c r="K339" s="20"/>
      <c r="L339" s="15"/>
      <c r="M339" s="17"/>
      <c r="N339" s="18"/>
      <c r="O339" s="19"/>
      <c r="P339" s="8"/>
      <c r="Q339" s="8"/>
      <c r="R339" s="15"/>
    </row>
    <row r="340" ht="13.5" customHeight="1">
      <c r="B340" s="8"/>
      <c r="C340" s="8"/>
      <c r="G340" s="8"/>
      <c r="H340" s="8"/>
      <c r="I340" s="15"/>
      <c r="K340" s="20"/>
      <c r="L340" s="15"/>
      <c r="M340" s="17"/>
      <c r="N340" s="18"/>
      <c r="O340" s="19"/>
      <c r="P340" s="8"/>
      <c r="Q340" s="8"/>
      <c r="R340" s="15"/>
    </row>
    <row r="341" ht="13.5" customHeight="1">
      <c r="B341" s="8"/>
      <c r="C341" s="8"/>
      <c r="G341" s="8"/>
      <c r="H341" s="8"/>
      <c r="I341" s="15"/>
      <c r="K341" s="20"/>
      <c r="L341" s="15"/>
      <c r="M341" s="17"/>
      <c r="N341" s="18"/>
      <c r="O341" s="19"/>
      <c r="P341" s="8"/>
      <c r="Q341" s="8"/>
      <c r="R341" s="15"/>
    </row>
    <row r="342" ht="13.5" customHeight="1">
      <c r="B342" s="8"/>
      <c r="C342" s="8"/>
      <c r="G342" s="8"/>
      <c r="H342" s="8"/>
      <c r="I342" s="15"/>
      <c r="K342" s="20"/>
      <c r="L342" s="15"/>
      <c r="M342" s="17"/>
      <c r="N342" s="18"/>
      <c r="O342" s="19"/>
      <c r="P342" s="8"/>
      <c r="Q342" s="8"/>
      <c r="R342" s="15"/>
    </row>
    <row r="343" ht="13.5" customHeight="1">
      <c r="B343" s="8"/>
      <c r="C343" s="8"/>
      <c r="G343" s="8"/>
      <c r="H343" s="8"/>
      <c r="I343" s="15"/>
      <c r="K343" s="20"/>
      <c r="L343" s="15"/>
      <c r="M343" s="17"/>
      <c r="N343" s="18"/>
      <c r="O343" s="19"/>
      <c r="P343" s="8"/>
      <c r="Q343" s="8"/>
      <c r="R343" s="15"/>
    </row>
    <row r="344" ht="13.5" customHeight="1">
      <c r="B344" s="8"/>
      <c r="C344" s="8"/>
      <c r="G344" s="8"/>
      <c r="H344" s="8"/>
      <c r="I344" s="15"/>
      <c r="K344" s="20"/>
      <c r="L344" s="15"/>
      <c r="M344" s="17"/>
      <c r="N344" s="18"/>
      <c r="O344" s="19"/>
      <c r="P344" s="8"/>
      <c r="Q344" s="8"/>
      <c r="R344" s="15"/>
    </row>
    <row r="345" ht="13.5" customHeight="1">
      <c r="B345" s="8"/>
      <c r="C345" s="8"/>
      <c r="G345" s="8"/>
      <c r="H345" s="8"/>
      <c r="I345" s="15"/>
      <c r="K345" s="20"/>
      <c r="L345" s="15"/>
      <c r="M345" s="17"/>
      <c r="N345" s="18"/>
      <c r="O345" s="19"/>
      <c r="P345" s="8"/>
      <c r="Q345" s="8"/>
      <c r="R345" s="15"/>
    </row>
    <row r="346" ht="13.5" customHeight="1">
      <c r="B346" s="8"/>
      <c r="C346" s="8"/>
      <c r="G346" s="8"/>
      <c r="H346" s="8"/>
      <c r="I346" s="15"/>
      <c r="K346" s="20"/>
      <c r="L346" s="15"/>
      <c r="M346" s="17"/>
      <c r="N346" s="18"/>
      <c r="O346" s="19"/>
      <c r="P346" s="8"/>
      <c r="Q346" s="8"/>
      <c r="R346" s="15"/>
    </row>
    <row r="347" ht="13.5" customHeight="1">
      <c r="B347" s="8"/>
      <c r="C347" s="8"/>
      <c r="G347" s="8"/>
      <c r="H347" s="8"/>
      <c r="I347" s="15"/>
      <c r="K347" s="20"/>
      <c r="L347" s="15"/>
      <c r="M347" s="17"/>
      <c r="N347" s="18"/>
      <c r="O347" s="19"/>
      <c r="P347" s="8"/>
      <c r="Q347" s="8"/>
      <c r="R347" s="15"/>
    </row>
    <row r="348" ht="13.5" customHeight="1">
      <c r="B348" s="8"/>
      <c r="C348" s="8"/>
      <c r="G348" s="8"/>
      <c r="H348" s="8"/>
      <c r="I348" s="15"/>
      <c r="K348" s="20"/>
      <c r="L348" s="15"/>
      <c r="M348" s="17"/>
      <c r="N348" s="18"/>
      <c r="O348" s="19"/>
      <c r="P348" s="8"/>
      <c r="Q348" s="8"/>
      <c r="R348" s="15"/>
    </row>
    <row r="349" ht="13.5" customHeight="1">
      <c r="B349" s="8"/>
      <c r="C349" s="8"/>
      <c r="G349" s="8"/>
      <c r="H349" s="8"/>
      <c r="I349" s="15"/>
      <c r="K349" s="20"/>
      <c r="L349" s="15"/>
      <c r="M349" s="17"/>
      <c r="N349" s="18"/>
      <c r="O349" s="19"/>
      <c r="P349" s="8"/>
      <c r="Q349" s="8"/>
      <c r="R349" s="15"/>
    </row>
    <row r="350" ht="13.5" customHeight="1">
      <c r="B350" s="8"/>
      <c r="C350" s="8"/>
      <c r="G350" s="8"/>
      <c r="H350" s="8"/>
      <c r="I350" s="15"/>
      <c r="K350" s="20"/>
      <c r="L350" s="15"/>
      <c r="M350" s="17"/>
      <c r="N350" s="18"/>
      <c r="O350" s="19"/>
      <c r="P350" s="8"/>
      <c r="Q350" s="8"/>
      <c r="R350" s="15"/>
    </row>
    <row r="351" ht="13.5" customHeight="1">
      <c r="B351" s="8"/>
      <c r="C351" s="8"/>
      <c r="G351" s="8"/>
      <c r="H351" s="8"/>
      <c r="I351" s="15"/>
      <c r="K351" s="20"/>
      <c r="L351" s="15"/>
      <c r="M351" s="17"/>
      <c r="N351" s="18"/>
      <c r="O351" s="19"/>
      <c r="P351" s="8"/>
      <c r="Q351" s="8"/>
      <c r="R351" s="15"/>
    </row>
    <row r="352" ht="13.5" customHeight="1">
      <c r="B352" s="8"/>
      <c r="C352" s="8"/>
      <c r="G352" s="8"/>
      <c r="H352" s="8"/>
      <c r="I352" s="15"/>
      <c r="K352" s="20"/>
      <c r="L352" s="15"/>
      <c r="M352" s="17"/>
      <c r="N352" s="18"/>
      <c r="O352" s="19"/>
      <c r="P352" s="8"/>
      <c r="Q352" s="8"/>
      <c r="R352" s="15"/>
    </row>
    <row r="353" ht="13.5" customHeight="1">
      <c r="B353" s="8"/>
      <c r="C353" s="8"/>
      <c r="G353" s="8"/>
      <c r="H353" s="8"/>
      <c r="I353" s="15"/>
      <c r="K353" s="20"/>
      <c r="L353" s="15"/>
      <c r="M353" s="17"/>
      <c r="N353" s="18"/>
      <c r="O353" s="19"/>
      <c r="P353" s="8"/>
      <c r="Q353" s="8"/>
      <c r="R353" s="15"/>
    </row>
    <row r="354" ht="13.5" customHeight="1">
      <c r="B354" s="8"/>
      <c r="C354" s="8"/>
      <c r="G354" s="8"/>
      <c r="H354" s="8"/>
      <c r="I354" s="15"/>
      <c r="K354" s="20"/>
      <c r="L354" s="15"/>
      <c r="M354" s="17"/>
      <c r="N354" s="18"/>
      <c r="O354" s="19"/>
      <c r="P354" s="8"/>
      <c r="Q354" s="8"/>
      <c r="R354" s="15"/>
    </row>
    <row r="355" ht="13.5" customHeight="1">
      <c r="B355" s="8"/>
      <c r="C355" s="8"/>
      <c r="G355" s="8"/>
      <c r="H355" s="8"/>
      <c r="I355" s="15"/>
      <c r="K355" s="20"/>
      <c r="L355" s="15"/>
      <c r="M355" s="17"/>
      <c r="N355" s="18"/>
      <c r="O355" s="19"/>
      <c r="P355" s="8"/>
      <c r="Q355" s="8"/>
      <c r="R355" s="15"/>
    </row>
    <row r="356" ht="13.5" customHeight="1">
      <c r="B356" s="8"/>
      <c r="C356" s="8"/>
      <c r="G356" s="8"/>
      <c r="H356" s="8"/>
      <c r="I356" s="15"/>
      <c r="K356" s="20"/>
      <c r="L356" s="15"/>
      <c r="M356" s="17"/>
      <c r="N356" s="18"/>
      <c r="O356" s="19"/>
      <c r="P356" s="8"/>
      <c r="Q356" s="8"/>
      <c r="R356" s="15"/>
    </row>
    <row r="357" ht="13.5" customHeight="1">
      <c r="B357" s="8"/>
      <c r="C357" s="8"/>
      <c r="G357" s="8"/>
      <c r="H357" s="8"/>
      <c r="I357" s="15"/>
      <c r="K357" s="20"/>
      <c r="L357" s="15"/>
      <c r="M357" s="17"/>
      <c r="N357" s="18"/>
      <c r="O357" s="19"/>
      <c r="P357" s="8"/>
      <c r="Q357" s="8"/>
      <c r="R357" s="15"/>
    </row>
    <row r="358" ht="13.5" customHeight="1">
      <c r="B358" s="8"/>
      <c r="C358" s="8"/>
      <c r="G358" s="8"/>
      <c r="H358" s="8"/>
      <c r="I358" s="15"/>
      <c r="K358" s="20"/>
      <c r="L358" s="15"/>
      <c r="M358" s="17"/>
      <c r="N358" s="18"/>
      <c r="O358" s="19"/>
      <c r="P358" s="8"/>
      <c r="Q358" s="8"/>
      <c r="R358" s="15"/>
    </row>
    <row r="359" ht="13.5" customHeight="1">
      <c r="B359" s="8"/>
      <c r="C359" s="8"/>
      <c r="G359" s="8"/>
      <c r="H359" s="8"/>
      <c r="I359" s="15"/>
      <c r="K359" s="20"/>
      <c r="L359" s="15"/>
      <c r="M359" s="17"/>
      <c r="N359" s="18"/>
      <c r="O359" s="19"/>
      <c r="P359" s="8"/>
      <c r="Q359" s="8"/>
      <c r="R359" s="15"/>
    </row>
    <row r="360" ht="13.5" customHeight="1">
      <c r="B360" s="8"/>
      <c r="C360" s="8"/>
      <c r="G360" s="8"/>
      <c r="H360" s="8"/>
      <c r="I360" s="15"/>
      <c r="K360" s="20"/>
      <c r="L360" s="15"/>
      <c r="M360" s="17"/>
      <c r="N360" s="18"/>
      <c r="O360" s="19"/>
      <c r="P360" s="8"/>
      <c r="Q360" s="8"/>
      <c r="R360" s="15"/>
    </row>
    <row r="361" ht="13.5" customHeight="1">
      <c r="B361" s="8"/>
      <c r="C361" s="8"/>
      <c r="G361" s="8"/>
      <c r="H361" s="8"/>
      <c r="I361" s="15"/>
      <c r="K361" s="20"/>
      <c r="L361" s="15"/>
      <c r="M361" s="17"/>
      <c r="N361" s="18"/>
      <c r="O361" s="19"/>
      <c r="P361" s="8"/>
      <c r="Q361" s="8"/>
      <c r="R361" s="15"/>
    </row>
    <row r="362" ht="13.5" customHeight="1">
      <c r="B362" s="8"/>
      <c r="C362" s="8"/>
      <c r="G362" s="8"/>
      <c r="H362" s="8"/>
      <c r="I362" s="15"/>
      <c r="K362" s="20"/>
      <c r="L362" s="15"/>
      <c r="M362" s="17"/>
      <c r="N362" s="18"/>
      <c r="O362" s="19"/>
      <c r="P362" s="8"/>
      <c r="Q362" s="8"/>
      <c r="R362" s="15"/>
    </row>
    <row r="363" ht="13.5" customHeight="1">
      <c r="B363" s="8"/>
      <c r="C363" s="8"/>
      <c r="G363" s="8"/>
      <c r="H363" s="8"/>
      <c r="I363" s="15"/>
      <c r="K363" s="20"/>
      <c r="L363" s="15"/>
      <c r="M363" s="17"/>
      <c r="N363" s="18"/>
      <c r="O363" s="19"/>
      <c r="P363" s="8"/>
      <c r="Q363" s="8"/>
      <c r="R363" s="15"/>
    </row>
    <row r="364" ht="13.5" customHeight="1">
      <c r="B364" s="8"/>
      <c r="C364" s="8"/>
      <c r="G364" s="8"/>
      <c r="H364" s="8"/>
      <c r="I364" s="15"/>
      <c r="K364" s="20"/>
      <c r="L364" s="15"/>
      <c r="M364" s="17"/>
      <c r="N364" s="18"/>
      <c r="O364" s="19"/>
      <c r="P364" s="8"/>
      <c r="Q364" s="8"/>
      <c r="R364" s="15"/>
    </row>
    <row r="365" ht="13.5" customHeight="1">
      <c r="B365" s="8"/>
      <c r="C365" s="8"/>
      <c r="G365" s="8"/>
      <c r="H365" s="8"/>
      <c r="I365" s="15"/>
      <c r="K365" s="20"/>
      <c r="L365" s="15"/>
      <c r="M365" s="17"/>
      <c r="N365" s="18"/>
      <c r="O365" s="19"/>
      <c r="P365" s="8"/>
      <c r="Q365" s="8"/>
      <c r="R365" s="15"/>
    </row>
    <row r="366" ht="13.5" customHeight="1">
      <c r="B366" s="8"/>
      <c r="C366" s="8"/>
      <c r="G366" s="8"/>
      <c r="H366" s="8"/>
      <c r="I366" s="15"/>
      <c r="K366" s="20"/>
      <c r="L366" s="15"/>
      <c r="M366" s="17"/>
      <c r="N366" s="18"/>
      <c r="O366" s="19"/>
      <c r="P366" s="8"/>
      <c r="Q366" s="8"/>
      <c r="R366" s="15"/>
    </row>
    <row r="367" ht="13.5" customHeight="1">
      <c r="B367" s="8"/>
      <c r="C367" s="8"/>
      <c r="G367" s="8"/>
      <c r="H367" s="8"/>
      <c r="I367" s="15"/>
      <c r="K367" s="20"/>
      <c r="L367" s="15"/>
      <c r="M367" s="17"/>
      <c r="N367" s="18"/>
      <c r="O367" s="19"/>
      <c r="P367" s="8"/>
      <c r="Q367" s="8"/>
      <c r="R367" s="15"/>
    </row>
    <row r="368" ht="13.5" customHeight="1">
      <c r="B368" s="8"/>
      <c r="C368" s="8"/>
      <c r="G368" s="8"/>
      <c r="H368" s="8"/>
      <c r="I368" s="15"/>
      <c r="K368" s="20"/>
      <c r="L368" s="15"/>
      <c r="M368" s="17"/>
      <c r="N368" s="18"/>
      <c r="O368" s="19"/>
      <c r="P368" s="8"/>
      <c r="Q368" s="8"/>
      <c r="R368" s="15"/>
    </row>
    <row r="369" ht="13.5" customHeight="1">
      <c r="B369" s="8"/>
      <c r="C369" s="8"/>
      <c r="G369" s="8"/>
      <c r="H369" s="8"/>
      <c r="I369" s="15"/>
      <c r="K369" s="20"/>
      <c r="L369" s="15"/>
      <c r="M369" s="17"/>
      <c r="N369" s="18"/>
      <c r="O369" s="19"/>
      <c r="P369" s="8"/>
      <c r="Q369" s="8"/>
      <c r="R369" s="15"/>
    </row>
    <row r="370" ht="13.5" customHeight="1">
      <c r="B370" s="8"/>
      <c r="C370" s="8"/>
      <c r="G370" s="8"/>
      <c r="H370" s="8"/>
      <c r="I370" s="15"/>
      <c r="K370" s="20"/>
      <c r="L370" s="15"/>
      <c r="M370" s="17"/>
      <c r="N370" s="18"/>
      <c r="O370" s="19"/>
      <c r="P370" s="8"/>
      <c r="Q370" s="8"/>
      <c r="R370" s="15"/>
    </row>
    <row r="371" ht="13.5" customHeight="1">
      <c r="B371" s="8"/>
      <c r="C371" s="8"/>
      <c r="G371" s="8"/>
      <c r="H371" s="8"/>
      <c r="I371" s="15"/>
      <c r="K371" s="20"/>
      <c r="L371" s="15"/>
      <c r="M371" s="17"/>
      <c r="N371" s="18"/>
      <c r="O371" s="19"/>
      <c r="P371" s="8"/>
      <c r="Q371" s="8"/>
      <c r="R371" s="15"/>
    </row>
    <row r="372" ht="13.5" customHeight="1">
      <c r="B372" s="8"/>
      <c r="C372" s="8"/>
      <c r="G372" s="8"/>
      <c r="H372" s="8"/>
      <c r="I372" s="15"/>
      <c r="K372" s="20"/>
      <c r="L372" s="15"/>
      <c r="M372" s="17"/>
      <c r="N372" s="18"/>
      <c r="O372" s="19"/>
      <c r="P372" s="8"/>
      <c r="Q372" s="8"/>
      <c r="R372" s="15"/>
    </row>
    <row r="373" ht="13.5" customHeight="1">
      <c r="B373" s="8"/>
      <c r="C373" s="8"/>
      <c r="G373" s="8"/>
      <c r="H373" s="8"/>
      <c r="I373" s="15"/>
      <c r="K373" s="20"/>
      <c r="L373" s="15"/>
      <c r="M373" s="17"/>
      <c r="N373" s="18"/>
      <c r="O373" s="19"/>
      <c r="P373" s="8"/>
      <c r="Q373" s="8"/>
      <c r="R373" s="15"/>
    </row>
    <row r="374" ht="13.5" customHeight="1">
      <c r="B374" s="8"/>
      <c r="C374" s="8"/>
      <c r="G374" s="8"/>
      <c r="H374" s="8"/>
      <c r="I374" s="15"/>
      <c r="K374" s="20"/>
      <c r="L374" s="15"/>
      <c r="M374" s="17"/>
      <c r="N374" s="18"/>
      <c r="O374" s="19"/>
      <c r="P374" s="8"/>
      <c r="Q374" s="8"/>
      <c r="R374" s="15"/>
    </row>
    <row r="375" ht="13.5" customHeight="1">
      <c r="B375" s="8"/>
      <c r="C375" s="8"/>
      <c r="G375" s="8"/>
      <c r="H375" s="8"/>
      <c r="I375" s="15"/>
      <c r="K375" s="20"/>
      <c r="L375" s="15"/>
      <c r="M375" s="17"/>
      <c r="N375" s="18"/>
      <c r="O375" s="19"/>
      <c r="P375" s="8"/>
      <c r="Q375" s="8"/>
      <c r="R375" s="15"/>
    </row>
    <row r="376" ht="13.5" customHeight="1">
      <c r="B376" s="8"/>
      <c r="C376" s="8"/>
      <c r="G376" s="8"/>
      <c r="H376" s="8"/>
      <c r="I376" s="15"/>
      <c r="K376" s="20"/>
      <c r="L376" s="15"/>
      <c r="M376" s="17"/>
      <c r="N376" s="18"/>
      <c r="O376" s="19"/>
      <c r="P376" s="8"/>
      <c r="Q376" s="8"/>
      <c r="R376" s="15"/>
    </row>
    <row r="377" ht="13.5" customHeight="1">
      <c r="B377" s="8"/>
      <c r="C377" s="8"/>
      <c r="G377" s="8"/>
      <c r="H377" s="8"/>
      <c r="I377" s="15"/>
      <c r="K377" s="20"/>
      <c r="L377" s="15"/>
      <c r="M377" s="17"/>
      <c r="N377" s="18"/>
      <c r="O377" s="19"/>
      <c r="P377" s="8"/>
      <c r="Q377" s="8"/>
      <c r="R377" s="15"/>
    </row>
    <row r="378" ht="13.5" customHeight="1">
      <c r="B378" s="8"/>
      <c r="C378" s="8"/>
      <c r="G378" s="8"/>
      <c r="H378" s="8"/>
      <c r="I378" s="15"/>
      <c r="K378" s="20"/>
      <c r="L378" s="15"/>
      <c r="M378" s="17"/>
      <c r="N378" s="18"/>
      <c r="O378" s="19"/>
      <c r="P378" s="8"/>
      <c r="Q378" s="8"/>
      <c r="R378" s="15"/>
    </row>
    <row r="379" ht="13.5" customHeight="1">
      <c r="B379" s="8"/>
      <c r="C379" s="8"/>
      <c r="G379" s="8"/>
      <c r="H379" s="8"/>
      <c r="I379" s="15"/>
      <c r="K379" s="20"/>
      <c r="L379" s="15"/>
      <c r="M379" s="17"/>
      <c r="N379" s="18"/>
      <c r="O379" s="19"/>
      <c r="P379" s="8"/>
      <c r="Q379" s="8"/>
      <c r="R379" s="15"/>
    </row>
    <row r="380" ht="13.5" customHeight="1">
      <c r="B380" s="8"/>
      <c r="C380" s="8"/>
      <c r="G380" s="8"/>
      <c r="H380" s="8"/>
      <c r="I380" s="15"/>
      <c r="K380" s="20"/>
      <c r="L380" s="15"/>
      <c r="M380" s="17"/>
      <c r="N380" s="18"/>
      <c r="O380" s="19"/>
      <c r="P380" s="8"/>
      <c r="Q380" s="8"/>
      <c r="R380" s="15"/>
    </row>
    <row r="381" ht="13.5" customHeight="1">
      <c r="B381" s="8"/>
      <c r="C381" s="8"/>
      <c r="G381" s="8"/>
      <c r="H381" s="8"/>
      <c r="I381" s="15"/>
      <c r="K381" s="20"/>
      <c r="L381" s="15"/>
      <c r="M381" s="17"/>
      <c r="N381" s="18"/>
      <c r="O381" s="19"/>
      <c r="P381" s="8"/>
      <c r="Q381" s="8"/>
      <c r="R381" s="15"/>
    </row>
    <row r="382" ht="13.5" customHeight="1">
      <c r="B382" s="8"/>
      <c r="C382" s="8"/>
      <c r="G382" s="8"/>
      <c r="H382" s="8"/>
      <c r="I382" s="15"/>
      <c r="K382" s="20"/>
      <c r="L382" s="15"/>
      <c r="M382" s="17"/>
      <c r="N382" s="18"/>
      <c r="O382" s="19"/>
      <c r="P382" s="8"/>
      <c r="Q382" s="8"/>
      <c r="R382" s="15"/>
    </row>
    <row r="383" ht="13.5" customHeight="1">
      <c r="B383" s="8"/>
      <c r="C383" s="8"/>
      <c r="G383" s="8"/>
      <c r="H383" s="8"/>
      <c r="I383" s="15"/>
      <c r="K383" s="20"/>
      <c r="L383" s="15"/>
      <c r="M383" s="17"/>
      <c r="N383" s="18"/>
      <c r="O383" s="19"/>
      <c r="P383" s="8"/>
      <c r="Q383" s="8"/>
      <c r="R383" s="15"/>
    </row>
    <row r="384" ht="13.5" customHeight="1">
      <c r="B384" s="8"/>
      <c r="C384" s="8"/>
      <c r="G384" s="8"/>
      <c r="H384" s="8"/>
      <c r="I384" s="15"/>
      <c r="K384" s="20"/>
      <c r="L384" s="15"/>
      <c r="M384" s="17"/>
      <c r="N384" s="18"/>
      <c r="O384" s="19"/>
      <c r="P384" s="8"/>
      <c r="Q384" s="8"/>
      <c r="R384" s="15"/>
    </row>
    <row r="385" ht="13.5" customHeight="1">
      <c r="B385" s="8"/>
      <c r="C385" s="8"/>
      <c r="G385" s="8"/>
      <c r="H385" s="8"/>
      <c r="I385" s="15"/>
      <c r="K385" s="20"/>
      <c r="L385" s="15"/>
      <c r="M385" s="17"/>
      <c r="N385" s="18"/>
      <c r="O385" s="19"/>
      <c r="P385" s="8"/>
      <c r="Q385" s="8"/>
      <c r="R385" s="15"/>
    </row>
    <row r="386" ht="13.5" customHeight="1">
      <c r="B386" s="8"/>
      <c r="C386" s="8"/>
      <c r="G386" s="8"/>
      <c r="H386" s="8"/>
      <c r="I386" s="15"/>
      <c r="K386" s="20"/>
      <c r="L386" s="15"/>
      <c r="M386" s="17"/>
      <c r="N386" s="18"/>
      <c r="O386" s="19"/>
      <c r="P386" s="8"/>
      <c r="Q386" s="8"/>
      <c r="R386" s="15"/>
    </row>
    <row r="387" ht="13.5" customHeight="1">
      <c r="B387" s="8"/>
      <c r="C387" s="8"/>
      <c r="G387" s="8"/>
      <c r="H387" s="8"/>
      <c r="I387" s="15"/>
      <c r="K387" s="20"/>
      <c r="L387" s="15"/>
      <c r="M387" s="17"/>
      <c r="N387" s="18"/>
      <c r="O387" s="19"/>
      <c r="P387" s="8"/>
      <c r="Q387" s="8"/>
      <c r="R387" s="15"/>
    </row>
    <row r="388" ht="13.5" customHeight="1">
      <c r="B388" s="8"/>
      <c r="C388" s="8"/>
      <c r="G388" s="8"/>
      <c r="H388" s="8"/>
      <c r="I388" s="15"/>
      <c r="K388" s="20"/>
      <c r="L388" s="15"/>
      <c r="M388" s="17"/>
      <c r="N388" s="18"/>
      <c r="O388" s="19"/>
      <c r="P388" s="8"/>
      <c r="Q388" s="8"/>
      <c r="R388" s="15"/>
    </row>
    <row r="389" ht="13.5" customHeight="1">
      <c r="B389" s="8"/>
      <c r="C389" s="8"/>
      <c r="G389" s="8"/>
      <c r="H389" s="8"/>
      <c r="I389" s="15"/>
      <c r="K389" s="20"/>
      <c r="L389" s="15"/>
      <c r="M389" s="17"/>
      <c r="N389" s="18"/>
      <c r="O389" s="19"/>
      <c r="P389" s="8"/>
      <c r="Q389" s="8"/>
      <c r="R389" s="15"/>
    </row>
    <row r="390" ht="13.5" customHeight="1">
      <c r="B390" s="8"/>
      <c r="C390" s="8"/>
      <c r="G390" s="8"/>
      <c r="H390" s="8"/>
      <c r="I390" s="15"/>
      <c r="K390" s="20"/>
      <c r="L390" s="15"/>
      <c r="M390" s="17"/>
      <c r="N390" s="18"/>
      <c r="O390" s="19"/>
      <c r="P390" s="8"/>
      <c r="Q390" s="8"/>
      <c r="R390" s="15"/>
    </row>
    <row r="391" ht="13.5" customHeight="1">
      <c r="B391" s="8"/>
      <c r="C391" s="8"/>
      <c r="G391" s="8"/>
      <c r="H391" s="8"/>
      <c r="I391" s="15"/>
      <c r="K391" s="20"/>
      <c r="L391" s="15"/>
      <c r="M391" s="17"/>
      <c r="N391" s="18"/>
      <c r="O391" s="19"/>
      <c r="P391" s="8"/>
      <c r="Q391" s="8"/>
      <c r="R391" s="15"/>
    </row>
    <row r="392" ht="13.5" customHeight="1">
      <c r="B392" s="8"/>
      <c r="C392" s="8"/>
      <c r="G392" s="8"/>
      <c r="H392" s="8"/>
      <c r="I392" s="15"/>
      <c r="K392" s="20"/>
      <c r="L392" s="15"/>
      <c r="M392" s="17"/>
      <c r="N392" s="18"/>
      <c r="O392" s="19"/>
      <c r="P392" s="8"/>
      <c r="Q392" s="8"/>
      <c r="R392" s="15"/>
    </row>
    <row r="393" ht="13.5" customHeight="1">
      <c r="B393" s="8"/>
      <c r="C393" s="8"/>
      <c r="G393" s="8"/>
      <c r="H393" s="8"/>
      <c r="I393" s="15"/>
      <c r="K393" s="20"/>
      <c r="L393" s="15"/>
      <c r="M393" s="17"/>
      <c r="N393" s="18"/>
      <c r="O393" s="19"/>
      <c r="P393" s="8"/>
      <c r="Q393" s="8"/>
      <c r="R393" s="15"/>
    </row>
    <row r="394" ht="13.5" customHeight="1">
      <c r="B394" s="8"/>
      <c r="C394" s="8"/>
      <c r="G394" s="8"/>
      <c r="H394" s="8"/>
      <c r="I394" s="15"/>
      <c r="K394" s="20"/>
      <c r="L394" s="15"/>
      <c r="M394" s="17"/>
      <c r="N394" s="18"/>
      <c r="O394" s="19"/>
      <c r="P394" s="8"/>
      <c r="Q394" s="8"/>
      <c r="R394" s="15"/>
    </row>
    <row r="395" ht="13.5" customHeight="1">
      <c r="B395" s="8"/>
      <c r="C395" s="8"/>
      <c r="G395" s="8"/>
      <c r="H395" s="8"/>
      <c r="I395" s="15"/>
      <c r="K395" s="20"/>
      <c r="L395" s="15"/>
      <c r="M395" s="17"/>
      <c r="N395" s="18"/>
      <c r="O395" s="19"/>
      <c r="P395" s="8"/>
      <c r="Q395" s="8"/>
      <c r="R395" s="15"/>
    </row>
    <row r="396" ht="13.5" customHeight="1">
      <c r="B396" s="8"/>
      <c r="C396" s="8"/>
      <c r="G396" s="8"/>
      <c r="H396" s="8"/>
      <c r="I396" s="15"/>
      <c r="K396" s="20"/>
      <c r="L396" s="15"/>
      <c r="M396" s="17"/>
      <c r="N396" s="18"/>
      <c r="O396" s="19"/>
      <c r="P396" s="8"/>
      <c r="Q396" s="8"/>
      <c r="R396" s="15"/>
    </row>
    <row r="397" ht="13.5" customHeight="1">
      <c r="B397" s="8"/>
      <c r="C397" s="8"/>
      <c r="G397" s="8"/>
      <c r="H397" s="8"/>
      <c r="I397" s="15"/>
      <c r="K397" s="20"/>
      <c r="L397" s="15"/>
      <c r="M397" s="17"/>
      <c r="N397" s="18"/>
      <c r="O397" s="19"/>
      <c r="P397" s="8"/>
      <c r="Q397" s="8"/>
      <c r="R397" s="15"/>
    </row>
    <row r="398" ht="13.5" customHeight="1">
      <c r="B398" s="8"/>
      <c r="C398" s="8"/>
      <c r="G398" s="8"/>
      <c r="H398" s="8"/>
      <c r="I398" s="15"/>
      <c r="K398" s="20"/>
      <c r="L398" s="15"/>
      <c r="M398" s="17"/>
      <c r="N398" s="18"/>
      <c r="O398" s="19"/>
      <c r="P398" s="8"/>
      <c r="Q398" s="8"/>
      <c r="R398" s="15"/>
    </row>
    <row r="399" ht="13.5" customHeight="1">
      <c r="B399" s="8"/>
      <c r="C399" s="8"/>
      <c r="G399" s="8"/>
      <c r="H399" s="8"/>
      <c r="I399" s="15"/>
      <c r="K399" s="20"/>
      <c r="L399" s="15"/>
      <c r="M399" s="17"/>
      <c r="N399" s="18"/>
      <c r="O399" s="19"/>
      <c r="P399" s="8"/>
      <c r="Q399" s="8"/>
      <c r="R399" s="15"/>
    </row>
    <row r="400" ht="13.5" customHeight="1">
      <c r="B400" s="8"/>
      <c r="C400" s="8"/>
      <c r="G400" s="8"/>
      <c r="H400" s="8"/>
      <c r="I400" s="15"/>
      <c r="K400" s="20"/>
      <c r="L400" s="15"/>
      <c r="M400" s="17"/>
      <c r="N400" s="18"/>
      <c r="O400" s="19"/>
      <c r="P400" s="8"/>
      <c r="Q400" s="8"/>
      <c r="R400" s="15"/>
    </row>
    <row r="401" ht="13.5" customHeight="1">
      <c r="B401" s="8"/>
      <c r="C401" s="8"/>
      <c r="G401" s="8"/>
      <c r="H401" s="8"/>
      <c r="I401" s="15"/>
      <c r="K401" s="20"/>
      <c r="L401" s="15"/>
      <c r="M401" s="17"/>
      <c r="N401" s="18"/>
      <c r="O401" s="19"/>
      <c r="P401" s="8"/>
      <c r="Q401" s="8"/>
      <c r="R401" s="15"/>
    </row>
    <row r="402" ht="13.5" customHeight="1">
      <c r="B402" s="8"/>
      <c r="C402" s="8"/>
      <c r="G402" s="8"/>
      <c r="H402" s="8"/>
      <c r="I402" s="15"/>
      <c r="K402" s="20"/>
      <c r="L402" s="15"/>
      <c r="M402" s="17"/>
      <c r="N402" s="18"/>
      <c r="O402" s="19"/>
      <c r="P402" s="8"/>
      <c r="Q402" s="8"/>
      <c r="R402" s="15"/>
    </row>
    <row r="403" ht="13.5" customHeight="1">
      <c r="B403" s="8"/>
      <c r="C403" s="8"/>
      <c r="G403" s="8"/>
      <c r="H403" s="8"/>
      <c r="I403" s="15"/>
      <c r="K403" s="20"/>
      <c r="L403" s="15"/>
      <c r="M403" s="17"/>
      <c r="N403" s="18"/>
      <c r="O403" s="19"/>
      <c r="P403" s="8"/>
      <c r="Q403" s="8"/>
      <c r="R403" s="15"/>
    </row>
    <row r="404" ht="13.5" customHeight="1">
      <c r="B404" s="8"/>
      <c r="C404" s="8"/>
      <c r="G404" s="8"/>
      <c r="H404" s="8"/>
      <c r="I404" s="15"/>
      <c r="K404" s="20"/>
      <c r="L404" s="15"/>
      <c r="M404" s="17"/>
      <c r="N404" s="18"/>
      <c r="O404" s="19"/>
      <c r="P404" s="8"/>
      <c r="Q404" s="8"/>
      <c r="R404" s="15"/>
    </row>
    <row r="405" ht="13.5" customHeight="1">
      <c r="B405" s="8"/>
      <c r="C405" s="8"/>
      <c r="G405" s="8"/>
      <c r="H405" s="8"/>
      <c r="I405" s="15"/>
      <c r="K405" s="20"/>
      <c r="L405" s="15"/>
      <c r="M405" s="17"/>
      <c r="N405" s="18"/>
      <c r="O405" s="19"/>
      <c r="P405" s="8"/>
      <c r="Q405" s="8"/>
      <c r="R405" s="15"/>
    </row>
    <row r="406" ht="13.5" customHeight="1">
      <c r="B406" s="8"/>
      <c r="C406" s="8"/>
      <c r="G406" s="8"/>
      <c r="H406" s="8"/>
      <c r="I406" s="15"/>
      <c r="K406" s="20"/>
      <c r="L406" s="15"/>
      <c r="M406" s="17"/>
      <c r="N406" s="18"/>
      <c r="O406" s="19"/>
      <c r="P406" s="8"/>
      <c r="Q406" s="8"/>
      <c r="R406" s="15"/>
    </row>
    <row r="407" ht="13.5" customHeight="1">
      <c r="B407" s="8"/>
      <c r="C407" s="8"/>
      <c r="G407" s="8"/>
      <c r="H407" s="8"/>
      <c r="I407" s="15"/>
      <c r="K407" s="20"/>
      <c r="L407" s="15"/>
      <c r="M407" s="17"/>
      <c r="N407" s="18"/>
      <c r="O407" s="19"/>
      <c r="P407" s="8"/>
      <c r="Q407" s="8"/>
      <c r="R407" s="15"/>
    </row>
    <row r="408" ht="13.5" customHeight="1">
      <c r="B408" s="8"/>
      <c r="C408" s="8"/>
      <c r="G408" s="8"/>
      <c r="H408" s="8"/>
      <c r="I408" s="15"/>
      <c r="K408" s="20"/>
      <c r="L408" s="15"/>
      <c r="M408" s="17"/>
      <c r="N408" s="18"/>
      <c r="O408" s="19"/>
      <c r="P408" s="8"/>
      <c r="Q408" s="8"/>
      <c r="R408" s="15"/>
    </row>
    <row r="409" ht="13.5" customHeight="1">
      <c r="B409" s="8"/>
      <c r="C409" s="8"/>
      <c r="G409" s="8"/>
      <c r="H409" s="8"/>
      <c r="I409" s="15"/>
      <c r="K409" s="20"/>
      <c r="L409" s="15"/>
      <c r="M409" s="17"/>
      <c r="N409" s="18"/>
      <c r="O409" s="19"/>
      <c r="P409" s="8"/>
      <c r="Q409" s="8"/>
      <c r="R409" s="15"/>
    </row>
    <row r="410" ht="13.5" customHeight="1">
      <c r="B410" s="8"/>
      <c r="C410" s="8"/>
      <c r="G410" s="8"/>
      <c r="H410" s="8"/>
      <c r="I410" s="15"/>
      <c r="K410" s="20"/>
      <c r="L410" s="15"/>
      <c r="M410" s="17"/>
      <c r="N410" s="18"/>
      <c r="O410" s="19"/>
      <c r="P410" s="8"/>
      <c r="Q410" s="8"/>
      <c r="R410" s="15"/>
    </row>
    <row r="411" ht="13.5" customHeight="1">
      <c r="B411" s="8"/>
      <c r="C411" s="8"/>
      <c r="G411" s="8"/>
      <c r="H411" s="8"/>
      <c r="I411" s="15"/>
      <c r="K411" s="20"/>
      <c r="L411" s="15"/>
      <c r="M411" s="17"/>
      <c r="N411" s="18"/>
      <c r="O411" s="19"/>
      <c r="P411" s="8"/>
      <c r="Q411" s="8"/>
      <c r="R411" s="15"/>
    </row>
    <row r="412" ht="13.5" customHeight="1">
      <c r="B412" s="8"/>
      <c r="C412" s="8"/>
      <c r="G412" s="8"/>
      <c r="H412" s="8"/>
      <c r="I412" s="15"/>
      <c r="K412" s="20"/>
      <c r="L412" s="15"/>
      <c r="M412" s="17"/>
      <c r="N412" s="18"/>
      <c r="O412" s="19"/>
      <c r="P412" s="8"/>
      <c r="Q412" s="8"/>
      <c r="R412" s="15"/>
    </row>
    <row r="413" ht="13.5" customHeight="1">
      <c r="B413" s="8"/>
      <c r="C413" s="8"/>
      <c r="G413" s="8"/>
      <c r="H413" s="8"/>
      <c r="I413" s="15"/>
      <c r="K413" s="20"/>
      <c r="L413" s="15"/>
      <c r="M413" s="17"/>
      <c r="N413" s="18"/>
      <c r="O413" s="19"/>
      <c r="P413" s="8"/>
      <c r="Q413" s="8"/>
      <c r="R413" s="15"/>
    </row>
    <row r="414" ht="13.5" customHeight="1">
      <c r="B414" s="8"/>
      <c r="C414" s="8"/>
      <c r="G414" s="8"/>
      <c r="H414" s="8"/>
      <c r="I414" s="15"/>
      <c r="K414" s="20"/>
      <c r="L414" s="15"/>
      <c r="M414" s="17"/>
      <c r="N414" s="18"/>
      <c r="O414" s="19"/>
      <c r="P414" s="8"/>
      <c r="Q414" s="8"/>
      <c r="R414" s="15"/>
    </row>
    <row r="415" ht="13.5" customHeight="1">
      <c r="B415" s="8"/>
      <c r="C415" s="8"/>
      <c r="G415" s="8"/>
      <c r="H415" s="8"/>
      <c r="I415" s="15"/>
      <c r="K415" s="20"/>
      <c r="L415" s="15"/>
      <c r="M415" s="17"/>
      <c r="N415" s="18"/>
      <c r="O415" s="19"/>
      <c r="P415" s="8"/>
      <c r="Q415" s="8"/>
      <c r="R415" s="15"/>
    </row>
    <row r="416" ht="13.5" customHeight="1">
      <c r="B416" s="8"/>
      <c r="C416" s="8"/>
      <c r="G416" s="8"/>
      <c r="H416" s="8"/>
      <c r="I416" s="15"/>
      <c r="K416" s="20"/>
      <c r="L416" s="15"/>
      <c r="M416" s="17"/>
      <c r="N416" s="18"/>
      <c r="O416" s="19"/>
      <c r="P416" s="8"/>
      <c r="Q416" s="8"/>
      <c r="R416" s="15"/>
    </row>
    <row r="417" ht="13.5" customHeight="1">
      <c r="B417" s="8"/>
      <c r="C417" s="8"/>
      <c r="G417" s="8"/>
      <c r="H417" s="8"/>
      <c r="I417" s="15"/>
      <c r="K417" s="20"/>
      <c r="L417" s="15"/>
      <c r="M417" s="17"/>
      <c r="N417" s="18"/>
      <c r="O417" s="19"/>
      <c r="P417" s="8"/>
      <c r="Q417" s="8"/>
      <c r="R417" s="15"/>
    </row>
    <row r="418" ht="13.5" customHeight="1">
      <c r="B418" s="8"/>
      <c r="C418" s="8"/>
      <c r="G418" s="8"/>
      <c r="H418" s="8"/>
      <c r="I418" s="15"/>
      <c r="K418" s="20"/>
      <c r="L418" s="15"/>
      <c r="M418" s="17"/>
      <c r="N418" s="18"/>
      <c r="O418" s="19"/>
      <c r="P418" s="8"/>
      <c r="Q418" s="8"/>
      <c r="R418" s="15"/>
    </row>
    <row r="419" ht="13.5" customHeight="1">
      <c r="B419" s="8"/>
      <c r="C419" s="8"/>
      <c r="G419" s="8"/>
      <c r="H419" s="8"/>
      <c r="I419" s="15"/>
      <c r="K419" s="20"/>
      <c r="L419" s="15"/>
      <c r="M419" s="17"/>
      <c r="N419" s="18"/>
      <c r="O419" s="19"/>
      <c r="P419" s="8"/>
      <c r="Q419" s="8"/>
      <c r="R419" s="15"/>
    </row>
    <row r="420" ht="13.5" customHeight="1">
      <c r="B420" s="8"/>
      <c r="C420" s="8"/>
      <c r="G420" s="8"/>
      <c r="H420" s="8"/>
      <c r="I420" s="15"/>
      <c r="K420" s="20"/>
      <c r="L420" s="15"/>
      <c r="M420" s="17"/>
      <c r="N420" s="18"/>
      <c r="O420" s="19"/>
      <c r="P420" s="8"/>
      <c r="Q420" s="8"/>
      <c r="R420" s="15"/>
    </row>
    <row r="421" ht="13.5" customHeight="1">
      <c r="B421" s="8"/>
      <c r="C421" s="8"/>
      <c r="G421" s="8"/>
      <c r="H421" s="8"/>
      <c r="I421" s="15"/>
      <c r="K421" s="20"/>
      <c r="L421" s="15"/>
      <c r="M421" s="17"/>
      <c r="N421" s="18"/>
      <c r="O421" s="19"/>
      <c r="P421" s="8"/>
      <c r="Q421" s="8"/>
      <c r="R421" s="15"/>
    </row>
    <row r="422" ht="13.5" customHeight="1">
      <c r="B422" s="8"/>
      <c r="C422" s="8"/>
      <c r="G422" s="8"/>
      <c r="H422" s="8"/>
      <c r="I422" s="15"/>
      <c r="K422" s="20"/>
      <c r="L422" s="15"/>
      <c r="M422" s="17"/>
      <c r="N422" s="18"/>
      <c r="O422" s="19"/>
      <c r="P422" s="8"/>
      <c r="Q422" s="8"/>
      <c r="R422" s="15"/>
    </row>
    <row r="423" ht="13.5" customHeight="1">
      <c r="B423" s="8"/>
      <c r="C423" s="8"/>
      <c r="G423" s="8"/>
      <c r="H423" s="8"/>
      <c r="I423" s="15"/>
      <c r="K423" s="20"/>
      <c r="L423" s="15"/>
      <c r="M423" s="17"/>
      <c r="N423" s="18"/>
      <c r="O423" s="19"/>
      <c r="P423" s="8"/>
      <c r="Q423" s="8"/>
      <c r="R423" s="15"/>
    </row>
    <row r="424" ht="13.5" customHeight="1">
      <c r="B424" s="8"/>
      <c r="C424" s="8"/>
      <c r="G424" s="8"/>
      <c r="H424" s="8"/>
      <c r="I424" s="15"/>
      <c r="K424" s="20"/>
      <c r="L424" s="15"/>
      <c r="M424" s="17"/>
      <c r="N424" s="18"/>
      <c r="O424" s="19"/>
      <c r="P424" s="8"/>
      <c r="Q424" s="8"/>
      <c r="R424" s="15"/>
    </row>
    <row r="425" ht="13.5" customHeight="1">
      <c r="B425" s="8"/>
      <c r="C425" s="8"/>
      <c r="G425" s="8"/>
      <c r="H425" s="8"/>
      <c r="I425" s="15"/>
      <c r="K425" s="20"/>
      <c r="L425" s="15"/>
      <c r="M425" s="17"/>
      <c r="N425" s="18"/>
      <c r="O425" s="19"/>
      <c r="P425" s="8"/>
      <c r="Q425" s="8"/>
      <c r="R425" s="15"/>
    </row>
    <row r="426" ht="13.5" customHeight="1">
      <c r="B426" s="8"/>
      <c r="C426" s="8"/>
      <c r="G426" s="8"/>
      <c r="H426" s="8"/>
      <c r="I426" s="15"/>
      <c r="K426" s="20"/>
      <c r="L426" s="15"/>
      <c r="M426" s="17"/>
      <c r="N426" s="18"/>
      <c r="O426" s="19"/>
      <c r="P426" s="8"/>
      <c r="Q426" s="8"/>
      <c r="R426" s="15"/>
    </row>
    <row r="427" ht="13.5" customHeight="1">
      <c r="B427" s="8"/>
      <c r="C427" s="8"/>
      <c r="G427" s="8"/>
      <c r="H427" s="8"/>
      <c r="I427" s="15"/>
      <c r="K427" s="20"/>
      <c r="L427" s="15"/>
      <c r="M427" s="17"/>
      <c r="N427" s="18"/>
      <c r="O427" s="19"/>
      <c r="P427" s="8"/>
      <c r="Q427" s="8"/>
      <c r="R427" s="15"/>
    </row>
    <row r="428" ht="13.5" customHeight="1">
      <c r="B428" s="8"/>
      <c r="C428" s="8"/>
      <c r="G428" s="8"/>
      <c r="H428" s="8"/>
      <c r="I428" s="15"/>
      <c r="K428" s="20"/>
      <c r="L428" s="15"/>
      <c r="M428" s="17"/>
      <c r="N428" s="18"/>
      <c r="O428" s="19"/>
      <c r="P428" s="8"/>
      <c r="Q428" s="8"/>
      <c r="R428" s="15"/>
    </row>
    <row r="429" ht="13.5" customHeight="1">
      <c r="B429" s="8"/>
      <c r="C429" s="8"/>
      <c r="G429" s="8"/>
      <c r="H429" s="8"/>
      <c r="I429" s="15"/>
      <c r="K429" s="20"/>
      <c r="L429" s="15"/>
      <c r="M429" s="17"/>
      <c r="N429" s="18"/>
      <c r="O429" s="19"/>
      <c r="P429" s="8"/>
      <c r="Q429" s="8"/>
      <c r="R429" s="15"/>
    </row>
    <row r="430" ht="13.5" customHeight="1">
      <c r="B430" s="8"/>
      <c r="C430" s="8"/>
      <c r="G430" s="8"/>
      <c r="H430" s="8"/>
      <c r="I430" s="15"/>
      <c r="K430" s="20"/>
      <c r="L430" s="15"/>
      <c r="M430" s="17"/>
      <c r="N430" s="18"/>
      <c r="O430" s="19"/>
      <c r="P430" s="8"/>
      <c r="Q430" s="8"/>
      <c r="R430" s="15"/>
    </row>
    <row r="431" ht="13.5" customHeight="1">
      <c r="B431" s="8"/>
      <c r="C431" s="8"/>
      <c r="G431" s="8"/>
      <c r="H431" s="8"/>
      <c r="I431" s="15"/>
      <c r="K431" s="20"/>
      <c r="L431" s="15"/>
      <c r="M431" s="17"/>
      <c r="N431" s="18"/>
      <c r="O431" s="19"/>
      <c r="P431" s="8"/>
      <c r="Q431" s="8"/>
      <c r="R431" s="15"/>
    </row>
    <row r="432" ht="13.5" customHeight="1">
      <c r="B432" s="8"/>
      <c r="C432" s="8"/>
      <c r="G432" s="8"/>
      <c r="H432" s="8"/>
      <c r="I432" s="15"/>
      <c r="K432" s="20"/>
      <c r="L432" s="15"/>
      <c r="M432" s="17"/>
      <c r="N432" s="18"/>
      <c r="O432" s="19"/>
      <c r="P432" s="8"/>
      <c r="Q432" s="8"/>
      <c r="R432" s="15"/>
    </row>
    <row r="433" ht="13.5" customHeight="1">
      <c r="B433" s="8"/>
      <c r="C433" s="8"/>
      <c r="G433" s="8"/>
      <c r="H433" s="8"/>
      <c r="I433" s="15"/>
      <c r="K433" s="20"/>
      <c r="L433" s="15"/>
      <c r="M433" s="17"/>
      <c r="N433" s="18"/>
      <c r="O433" s="19"/>
      <c r="P433" s="8"/>
      <c r="Q433" s="8"/>
      <c r="R433" s="15"/>
    </row>
    <row r="434" ht="13.5" customHeight="1">
      <c r="B434" s="8"/>
      <c r="C434" s="8"/>
      <c r="G434" s="8"/>
      <c r="H434" s="8"/>
      <c r="I434" s="15"/>
      <c r="K434" s="20"/>
      <c r="L434" s="15"/>
      <c r="M434" s="17"/>
      <c r="N434" s="18"/>
      <c r="O434" s="19"/>
      <c r="P434" s="8"/>
      <c r="Q434" s="8"/>
      <c r="R434" s="15"/>
    </row>
    <row r="435" ht="13.5" customHeight="1">
      <c r="B435" s="8"/>
      <c r="C435" s="8"/>
      <c r="G435" s="8"/>
      <c r="H435" s="8"/>
      <c r="I435" s="15"/>
      <c r="K435" s="20"/>
      <c r="L435" s="15"/>
      <c r="M435" s="17"/>
      <c r="N435" s="18"/>
      <c r="O435" s="19"/>
      <c r="P435" s="8"/>
      <c r="Q435" s="8"/>
      <c r="R435" s="15"/>
    </row>
    <row r="436" ht="13.5" customHeight="1">
      <c r="B436" s="8"/>
      <c r="C436" s="8"/>
      <c r="G436" s="8"/>
      <c r="H436" s="8"/>
      <c r="I436" s="15"/>
      <c r="K436" s="20"/>
      <c r="L436" s="15"/>
      <c r="M436" s="17"/>
      <c r="N436" s="18"/>
      <c r="O436" s="19"/>
      <c r="P436" s="8"/>
      <c r="Q436" s="8"/>
      <c r="R436" s="15"/>
    </row>
    <row r="437" ht="13.5" customHeight="1">
      <c r="B437" s="8"/>
      <c r="C437" s="8"/>
      <c r="G437" s="8"/>
      <c r="H437" s="8"/>
      <c r="I437" s="15"/>
      <c r="K437" s="20"/>
      <c r="L437" s="15"/>
      <c r="M437" s="17"/>
      <c r="N437" s="18"/>
      <c r="O437" s="19"/>
      <c r="P437" s="8"/>
      <c r="Q437" s="8"/>
      <c r="R437" s="15"/>
    </row>
    <row r="438" ht="13.5" customHeight="1">
      <c r="B438" s="8"/>
      <c r="C438" s="8"/>
      <c r="G438" s="8"/>
      <c r="H438" s="8"/>
      <c r="I438" s="15"/>
      <c r="K438" s="20"/>
      <c r="L438" s="15"/>
      <c r="M438" s="17"/>
      <c r="N438" s="18"/>
      <c r="O438" s="19"/>
      <c r="P438" s="8"/>
      <c r="Q438" s="8"/>
      <c r="R438" s="15"/>
    </row>
    <row r="439" ht="13.5" customHeight="1">
      <c r="B439" s="8"/>
      <c r="C439" s="8"/>
      <c r="G439" s="8"/>
      <c r="H439" s="8"/>
      <c r="I439" s="15"/>
      <c r="K439" s="20"/>
      <c r="L439" s="15"/>
      <c r="M439" s="17"/>
      <c r="N439" s="18"/>
      <c r="O439" s="19"/>
      <c r="P439" s="8"/>
      <c r="Q439" s="8"/>
      <c r="R439" s="15"/>
    </row>
    <row r="440" ht="13.5" customHeight="1">
      <c r="B440" s="8"/>
      <c r="C440" s="8"/>
      <c r="G440" s="8"/>
      <c r="H440" s="8"/>
      <c r="I440" s="15"/>
      <c r="K440" s="20"/>
      <c r="L440" s="15"/>
      <c r="M440" s="17"/>
      <c r="N440" s="18"/>
      <c r="O440" s="19"/>
      <c r="P440" s="8"/>
      <c r="Q440" s="8"/>
      <c r="R440" s="15"/>
    </row>
    <row r="441" ht="13.5" customHeight="1">
      <c r="B441" s="8"/>
      <c r="C441" s="8"/>
      <c r="G441" s="8"/>
      <c r="H441" s="8"/>
      <c r="I441" s="15"/>
      <c r="K441" s="20"/>
      <c r="L441" s="15"/>
      <c r="M441" s="17"/>
      <c r="N441" s="18"/>
      <c r="O441" s="19"/>
      <c r="P441" s="8"/>
      <c r="Q441" s="8"/>
      <c r="R441" s="15"/>
    </row>
    <row r="442" ht="13.5" customHeight="1">
      <c r="B442" s="8"/>
      <c r="C442" s="8"/>
      <c r="G442" s="8"/>
      <c r="H442" s="8"/>
      <c r="I442" s="15"/>
      <c r="K442" s="20"/>
      <c r="L442" s="15"/>
      <c r="M442" s="17"/>
      <c r="N442" s="18"/>
      <c r="O442" s="19"/>
      <c r="P442" s="8"/>
      <c r="Q442" s="8"/>
      <c r="R442" s="15"/>
    </row>
    <row r="443" ht="13.5" customHeight="1">
      <c r="B443" s="8"/>
      <c r="C443" s="8"/>
      <c r="G443" s="8"/>
      <c r="H443" s="8"/>
      <c r="I443" s="15"/>
      <c r="K443" s="20"/>
      <c r="L443" s="15"/>
      <c r="M443" s="17"/>
      <c r="N443" s="18"/>
      <c r="O443" s="19"/>
      <c r="P443" s="8"/>
      <c r="Q443" s="8"/>
      <c r="R443" s="15"/>
    </row>
    <row r="444" ht="13.5" customHeight="1">
      <c r="B444" s="8"/>
      <c r="C444" s="8"/>
      <c r="G444" s="8"/>
      <c r="H444" s="8"/>
      <c r="I444" s="15"/>
      <c r="K444" s="20"/>
      <c r="L444" s="15"/>
      <c r="M444" s="17"/>
      <c r="N444" s="18"/>
      <c r="O444" s="19"/>
      <c r="P444" s="8"/>
      <c r="Q444" s="8"/>
      <c r="R444" s="15"/>
    </row>
    <row r="445" ht="13.5" customHeight="1">
      <c r="B445" s="8"/>
      <c r="C445" s="8"/>
      <c r="G445" s="8"/>
      <c r="H445" s="8"/>
      <c r="I445" s="15"/>
      <c r="K445" s="20"/>
      <c r="L445" s="15"/>
      <c r="M445" s="17"/>
      <c r="N445" s="18"/>
      <c r="O445" s="19"/>
      <c r="P445" s="8"/>
      <c r="Q445" s="8"/>
      <c r="R445" s="15"/>
    </row>
    <row r="446" ht="13.5" customHeight="1">
      <c r="B446" s="8"/>
      <c r="C446" s="8"/>
      <c r="G446" s="8"/>
      <c r="H446" s="8"/>
      <c r="I446" s="15"/>
      <c r="K446" s="20"/>
      <c r="L446" s="15"/>
      <c r="M446" s="17"/>
      <c r="N446" s="18"/>
      <c r="O446" s="19"/>
      <c r="P446" s="8"/>
      <c r="Q446" s="8"/>
      <c r="R446" s="15"/>
    </row>
    <row r="447" ht="13.5" customHeight="1">
      <c r="B447" s="8"/>
      <c r="C447" s="8"/>
      <c r="G447" s="8"/>
      <c r="H447" s="8"/>
      <c r="I447" s="15"/>
      <c r="K447" s="20"/>
      <c r="L447" s="15"/>
      <c r="M447" s="17"/>
      <c r="N447" s="18"/>
      <c r="O447" s="19"/>
      <c r="P447" s="8"/>
      <c r="Q447" s="8"/>
      <c r="R447" s="15"/>
    </row>
    <row r="448" ht="13.5" customHeight="1">
      <c r="B448" s="8"/>
      <c r="C448" s="8"/>
      <c r="G448" s="8"/>
      <c r="H448" s="8"/>
      <c r="I448" s="15"/>
      <c r="K448" s="20"/>
      <c r="L448" s="15"/>
      <c r="M448" s="17"/>
      <c r="N448" s="18"/>
      <c r="O448" s="19"/>
      <c r="P448" s="8"/>
      <c r="Q448" s="8"/>
      <c r="R448" s="15"/>
    </row>
    <row r="449" ht="13.5" customHeight="1">
      <c r="B449" s="8"/>
      <c r="C449" s="8"/>
      <c r="G449" s="8"/>
      <c r="H449" s="8"/>
      <c r="I449" s="15"/>
      <c r="K449" s="20"/>
      <c r="L449" s="15"/>
      <c r="M449" s="17"/>
      <c r="N449" s="18"/>
      <c r="O449" s="19"/>
      <c r="P449" s="8"/>
      <c r="Q449" s="8"/>
      <c r="R449" s="15"/>
    </row>
    <row r="450" ht="13.5" customHeight="1">
      <c r="B450" s="8"/>
      <c r="C450" s="8"/>
      <c r="G450" s="8"/>
      <c r="H450" s="8"/>
      <c r="I450" s="15"/>
      <c r="K450" s="20"/>
      <c r="L450" s="15"/>
      <c r="M450" s="17"/>
      <c r="N450" s="18"/>
      <c r="O450" s="19"/>
      <c r="P450" s="8"/>
      <c r="Q450" s="8"/>
      <c r="R450" s="15"/>
    </row>
    <row r="451" ht="13.5" customHeight="1">
      <c r="B451" s="8"/>
      <c r="C451" s="8"/>
      <c r="G451" s="8"/>
      <c r="H451" s="8"/>
      <c r="I451" s="15"/>
      <c r="K451" s="20"/>
      <c r="L451" s="15"/>
      <c r="M451" s="17"/>
      <c r="N451" s="18"/>
      <c r="O451" s="19"/>
      <c r="P451" s="8"/>
      <c r="Q451" s="8"/>
      <c r="R451" s="15"/>
    </row>
    <row r="452" ht="13.5" customHeight="1">
      <c r="B452" s="8"/>
      <c r="C452" s="8"/>
      <c r="G452" s="8"/>
      <c r="H452" s="8"/>
      <c r="I452" s="15"/>
      <c r="K452" s="20"/>
      <c r="L452" s="15"/>
      <c r="M452" s="17"/>
      <c r="N452" s="18"/>
      <c r="O452" s="19"/>
      <c r="P452" s="8"/>
      <c r="Q452" s="8"/>
      <c r="R452" s="15"/>
    </row>
    <row r="453" ht="13.5" customHeight="1">
      <c r="B453" s="8"/>
      <c r="C453" s="8"/>
      <c r="G453" s="8"/>
      <c r="H453" s="8"/>
      <c r="I453" s="15"/>
      <c r="K453" s="20"/>
      <c r="L453" s="15"/>
      <c r="M453" s="17"/>
      <c r="N453" s="18"/>
      <c r="O453" s="19"/>
      <c r="P453" s="8"/>
      <c r="Q453" s="8"/>
      <c r="R453" s="15"/>
    </row>
    <row r="454" ht="13.5" customHeight="1">
      <c r="B454" s="8"/>
      <c r="C454" s="8"/>
      <c r="G454" s="8"/>
      <c r="H454" s="8"/>
      <c r="I454" s="15"/>
      <c r="K454" s="20"/>
      <c r="L454" s="15"/>
      <c r="M454" s="17"/>
      <c r="N454" s="18"/>
      <c r="O454" s="19"/>
      <c r="P454" s="8"/>
      <c r="Q454" s="8"/>
      <c r="R454" s="15"/>
    </row>
    <row r="455" ht="13.5" customHeight="1">
      <c r="B455" s="8"/>
      <c r="C455" s="8"/>
      <c r="G455" s="8"/>
      <c r="H455" s="8"/>
      <c r="I455" s="15"/>
      <c r="K455" s="20"/>
      <c r="L455" s="15"/>
      <c r="M455" s="17"/>
      <c r="N455" s="18"/>
      <c r="O455" s="19"/>
      <c r="P455" s="8"/>
      <c r="Q455" s="8"/>
      <c r="R455" s="15"/>
    </row>
    <row r="456" ht="13.5" customHeight="1">
      <c r="B456" s="8"/>
      <c r="C456" s="8"/>
      <c r="G456" s="8"/>
      <c r="H456" s="8"/>
      <c r="I456" s="15"/>
      <c r="K456" s="20"/>
      <c r="L456" s="15"/>
      <c r="M456" s="17"/>
      <c r="N456" s="18"/>
      <c r="O456" s="19"/>
      <c r="P456" s="8"/>
      <c r="Q456" s="8"/>
      <c r="R456" s="15"/>
    </row>
    <row r="457" ht="13.5" customHeight="1">
      <c r="B457" s="8"/>
      <c r="C457" s="8"/>
      <c r="G457" s="8"/>
      <c r="H457" s="8"/>
      <c r="I457" s="15"/>
      <c r="K457" s="20"/>
      <c r="L457" s="15"/>
      <c r="M457" s="17"/>
      <c r="N457" s="18"/>
      <c r="O457" s="19"/>
      <c r="P457" s="8"/>
      <c r="Q457" s="8"/>
      <c r="R457" s="15"/>
    </row>
    <row r="458" ht="13.5" customHeight="1">
      <c r="B458" s="8"/>
      <c r="C458" s="8"/>
      <c r="G458" s="8"/>
      <c r="H458" s="8"/>
      <c r="I458" s="15"/>
      <c r="K458" s="20"/>
      <c r="L458" s="15"/>
      <c r="M458" s="17"/>
      <c r="N458" s="18"/>
      <c r="O458" s="19"/>
      <c r="P458" s="8"/>
      <c r="Q458" s="8"/>
      <c r="R458" s="15"/>
    </row>
    <row r="459" ht="13.5" customHeight="1">
      <c r="B459" s="8"/>
      <c r="C459" s="8"/>
      <c r="G459" s="8"/>
      <c r="H459" s="8"/>
      <c r="I459" s="15"/>
      <c r="K459" s="20"/>
      <c r="L459" s="15"/>
      <c r="M459" s="17"/>
      <c r="N459" s="18"/>
      <c r="O459" s="19"/>
      <c r="P459" s="8"/>
      <c r="Q459" s="8"/>
      <c r="R459" s="15"/>
    </row>
    <row r="460" ht="13.5" customHeight="1">
      <c r="B460" s="8"/>
      <c r="C460" s="8"/>
      <c r="G460" s="8"/>
      <c r="H460" s="8"/>
      <c r="I460" s="15"/>
      <c r="K460" s="20"/>
      <c r="L460" s="15"/>
      <c r="M460" s="17"/>
      <c r="N460" s="18"/>
      <c r="O460" s="19"/>
      <c r="P460" s="8"/>
      <c r="Q460" s="8"/>
      <c r="R460" s="15"/>
    </row>
    <row r="461" ht="13.5" customHeight="1">
      <c r="B461" s="8"/>
      <c r="C461" s="8"/>
      <c r="G461" s="8"/>
      <c r="H461" s="8"/>
      <c r="I461" s="15"/>
      <c r="K461" s="20"/>
      <c r="L461" s="15"/>
      <c r="M461" s="17"/>
      <c r="N461" s="18"/>
      <c r="O461" s="19"/>
      <c r="P461" s="8"/>
      <c r="Q461" s="8"/>
      <c r="R461" s="15"/>
    </row>
    <row r="462" ht="13.5" customHeight="1">
      <c r="B462" s="8"/>
      <c r="C462" s="8"/>
      <c r="G462" s="8"/>
      <c r="H462" s="8"/>
      <c r="I462" s="15"/>
      <c r="K462" s="20"/>
      <c r="L462" s="15"/>
      <c r="M462" s="17"/>
      <c r="N462" s="18"/>
      <c r="O462" s="19"/>
      <c r="P462" s="8"/>
      <c r="Q462" s="8"/>
      <c r="R462" s="15"/>
    </row>
    <row r="463" ht="13.5" customHeight="1">
      <c r="B463" s="8"/>
      <c r="C463" s="8"/>
      <c r="G463" s="8"/>
      <c r="H463" s="8"/>
      <c r="I463" s="15"/>
      <c r="K463" s="20"/>
      <c r="L463" s="15"/>
      <c r="M463" s="17"/>
      <c r="N463" s="18"/>
      <c r="O463" s="19"/>
      <c r="P463" s="8"/>
      <c r="Q463" s="8"/>
      <c r="R463" s="15"/>
    </row>
    <row r="464" ht="13.5" customHeight="1">
      <c r="B464" s="8"/>
      <c r="C464" s="8"/>
      <c r="G464" s="8"/>
      <c r="H464" s="8"/>
      <c r="I464" s="15"/>
      <c r="K464" s="20"/>
      <c r="L464" s="15"/>
      <c r="M464" s="17"/>
      <c r="N464" s="18"/>
      <c r="O464" s="19"/>
      <c r="P464" s="8"/>
      <c r="Q464" s="8"/>
      <c r="R464" s="15"/>
    </row>
    <row r="465" ht="13.5" customHeight="1">
      <c r="B465" s="8"/>
      <c r="C465" s="8"/>
      <c r="G465" s="8"/>
      <c r="H465" s="8"/>
      <c r="I465" s="15"/>
      <c r="K465" s="20"/>
      <c r="L465" s="15"/>
      <c r="M465" s="17"/>
      <c r="N465" s="18"/>
      <c r="O465" s="19"/>
      <c r="P465" s="8"/>
      <c r="Q465" s="8"/>
      <c r="R465" s="15"/>
    </row>
    <row r="466" ht="13.5" customHeight="1">
      <c r="B466" s="8"/>
      <c r="C466" s="8"/>
      <c r="G466" s="8"/>
      <c r="H466" s="8"/>
      <c r="I466" s="15"/>
      <c r="K466" s="20"/>
      <c r="L466" s="15"/>
      <c r="M466" s="17"/>
      <c r="N466" s="18"/>
      <c r="O466" s="19"/>
      <c r="P466" s="8"/>
      <c r="Q466" s="8"/>
      <c r="R466" s="15"/>
    </row>
    <row r="467" ht="13.5" customHeight="1">
      <c r="B467" s="8"/>
      <c r="C467" s="8"/>
      <c r="G467" s="8"/>
      <c r="H467" s="8"/>
      <c r="I467" s="15"/>
      <c r="K467" s="20"/>
      <c r="L467" s="15"/>
      <c r="M467" s="17"/>
      <c r="N467" s="18"/>
      <c r="O467" s="19"/>
      <c r="P467" s="8"/>
      <c r="Q467" s="8"/>
      <c r="R467" s="15"/>
    </row>
    <row r="468" ht="13.5" customHeight="1">
      <c r="B468" s="8"/>
      <c r="C468" s="8"/>
      <c r="G468" s="8"/>
      <c r="H468" s="8"/>
      <c r="I468" s="15"/>
      <c r="K468" s="20"/>
      <c r="L468" s="15"/>
      <c r="M468" s="17"/>
      <c r="N468" s="18"/>
      <c r="O468" s="19"/>
      <c r="P468" s="8"/>
      <c r="Q468" s="8"/>
      <c r="R468" s="15"/>
    </row>
    <row r="469" ht="13.5" customHeight="1">
      <c r="B469" s="8"/>
      <c r="C469" s="8"/>
      <c r="G469" s="8"/>
      <c r="H469" s="8"/>
      <c r="I469" s="15"/>
      <c r="K469" s="20"/>
      <c r="L469" s="15"/>
      <c r="M469" s="17"/>
      <c r="N469" s="18"/>
      <c r="O469" s="19"/>
      <c r="P469" s="8"/>
      <c r="Q469" s="8"/>
      <c r="R469" s="15"/>
    </row>
    <row r="470" ht="13.5" customHeight="1">
      <c r="B470" s="8"/>
      <c r="C470" s="8"/>
      <c r="G470" s="8"/>
      <c r="H470" s="8"/>
      <c r="I470" s="15"/>
      <c r="K470" s="20"/>
      <c r="L470" s="15"/>
      <c r="M470" s="17"/>
      <c r="N470" s="18"/>
      <c r="O470" s="19"/>
      <c r="P470" s="8"/>
      <c r="Q470" s="8"/>
      <c r="R470" s="15"/>
    </row>
    <row r="471" ht="13.5" customHeight="1">
      <c r="B471" s="8"/>
      <c r="C471" s="8"/>
      <c r="G471" s="8"/>
      <c r="H471" s="8"/>
      <c r="I471" s="15"/>
      <c r="K471" s="20"/>
      <c r="L471" s="15"/>
      <c r="M471" s="17"/>
      <c r="N471" s="18"/>
      <c r="O471" s="19"/>
      <c r="P471" s="8"/>
      <c r="Q471" s="8"/>
      <c r="R471" s="15"/>
    </row>
    <row r="472" ht="13.5" customHeight="1">
      <c r="B472" s="8"/>
      <c r="C472" s="8"/>
      <c r="G472" s="8"/>
      <c r="H472" s="8"/>
      <c r="I472" s="15"/>
      <c r="K472" s="20"/>
      <c r="L472" s="15"/>
      <c r="M472" s="17"/>
      <c r="N472" s="18"/>
      <c r="O472" s="19"/>
      <c r="P472" s="8"/>
      <c r="Q472" s="8"/>
      <c r="R472" s="15"/>
    </row>
    <row r="473" ht="13.5" customHeight="1">
      <c r="B473" s="8"/>
      <c r="C473" s="8"/>
      <c r="G473" s="8"/>
      <c r="H473" s="8"/>
      <c r="I473" s="15"/>
      <c r="K473" s="20"/>
      <c r="L473" s="15"/>
      <c r="M473" s="17"/>
      <c r="N473" s="18"/>
      <c r="O473" s="19"/>
      <c r="P473" s="8"/>
      <c r="Q473" s="8"/>
      <c r="R473" s="15"/>
    </row>
    <row r="474" ht="13.5" customHeight="1">
      <c r="B474" s="8"/>
      <c r="C474" s="8"/>
      <c r="G474" s="8"/>
      <c r="H474" s="8"/>
      <c r="I474" s="15"/>
      <c r="K474" s="20"/>
      <c r="L474" s="15"/>
      <c r="M474" s="17"/>
      <c r="N474" s="18"/>
      <c r="O474" s="19"/>
      <c r="P474" s="8"/>
      <c r="Q474" s="8"/>
      <c r="R474" s="15"/>
    </row>
    <row r="475" ht="13.5" customHeight="1">
      <c r="B475" s="8"/>
      <c r="C475" s="8"/>
      <c r="G475" s="8"/>
      <c r="H475" s="8"/>
      <c r="I475" s="15"/>
      <c r="K475" s="20"/>
      <c r="L475" s="15"/>
      <c r="M475" s="17"/>
      <c r="N475" s="18"/>
      <c r="O475" s="19"/>
      <c r="P475" s="8"/>
      <c r="Q475" s="8"/>
      <c r="R475" s="15"/>
    </row>
    <row r="476" ht="13.5" customHeight="1">
      <c r="B476" s="8"/>
      <c r="C476" s="8"/>
      <c r="G476" s="8"/>
      <c r="H476" s="8"/>
      <c r="I476" s="15"/>
      <c r="K476" s="20"/>
      <c r="L476" s="15"/>
      <c r="M476" s="17"/>
      <c r="N476" s="18"/>
      <c r="O476" s="19"/>
      <c r="P476" s="8"/>
      <c r="Q476" s="8"/>
      <c r="R476" s="15"/>
    </row>
    <row r="477" ht="13.5" customHeight="1">
      <c r="B477" s="8"/>
      <c r="C477" s="8"/>
      <c r="G477" s="8"/>
      <c r="H477" s="8"/>
      <c r="I477" s="15"/>
      <c r="K477" s="20"/>
      <c r="L477" s="15"/>
      <c r="M477" s="17"/>
      <c r="N477" s="18"/>
      <c r="O477" s="19"/>
      <c r="P477" s="8"/>
      <c r="Q477" s="8"/>
      <c r="R477" s="15"/>
    </row>
    <row r="478" ht="13.5" customHeight="1">
      <c r="B478" s="8"/>
      <c r="C478" s="8"/>
      <c r="G478" s="8"/>
      <c r="H478" s="8"/>
      <c r="I478" s="15"/>
      <c r="K478" s="20"/>
      <c r="L478" s="15"/>
      <c r="M478" s="17"/>
      <c r="N478" s="18"/>
      <c r="O478" s="19"/>
      <c r="P478" s="8"/>
      <c r="Q478" s="8"/>
      <c r="R478" s="15"/>
    </row>
    <row r="479" ht="13.5" customHeight="1">
      <c r="B479" s="8"/>
      <c r="C479" s="8"/>
      <c r="G479" s="8"/>
      <c r="H479" s="8"/>
      <c r="I479" s="15"/>
      <c r="K479" s="20"/>
      <c r="L479" s="15"/>
      <c r="M479" s="17"/>
      <c r="N479" s="18"/>
      <c r="O479" s="19"/>
      <c r="P479" s="8"/>
      <c r="Q479" s="8"/>
      <c r="R479" s="15"/>
    </row>
    <row r="480" ht="13.5" customHeight="1">
      <c r="B480" s="8"/>
      <c r="C480" s="8"/>
      <c r="G480" s="8"/>
      <c r="H480" s="8"/>
      <c r="I480" s="15"/>
      <c r="K480" s="20"/>
      <c r="L480" s="15"/>
      <c r="M480" s="17"/>
      <c r="N480" s="18"/>
      <c r="O480" s="19"/>
      <c r="P480" s="8"/>
      <c r="Q480" s="8"/>
      <c r="R480" s="15"/>
    </row>
    <row r="481" ht="13.5" customHeight="1">
      <c r="B481" s="8"/>
      <c r="C481" s="8"/>
      <c r="G481" s="8"/>
      <c r="H481" s="8"/>
      <c r="I481" s="15"/>
      <c r="K481" s="20"/>
      <c r="L481" s="15"/>
      <c r="M481" s="17"/>
      <c r="N481" s="18"/>
      <c r="O481" s="19"/>
      <c r="P481" s="8"/>
      <c r="Q481" s="8"/>
      <c r="R481" s="15"/>
    </row>
    <row r="482" ht="13.5" customHeight="1">
      <c r="B482" s="8"/>
      <c r="C482" s="8"/>
      <c r="G482" s="8"/>
      <c r="H482" s="8"/>
      <c r="I482" s="15"/>
      <c r="K482" s="20"/>
      <c r="L482" s="15"/>
      <c r="M482" s="17"/>
      <c r="N482" s="18"/>
      <c r="O482" s="19"/>
      <c r="P482" s="8"/>
      <c r="Q482" s="8"/>
      <c r="R482" s="15"/>
    </row>
    <row r="483" ht="13.5" customHeight="1">
      <c r="B483" s="8"/>
      <c r="C483" s="8"/>
      <c r="G483" s="8"/>
      <c r="H483" s="8"/>
      <c r="I483" s="15"/>
      <c r="K483" s="20"/>
      <c r="L483" s="15"/>
      <c r="M483" s="17"/>
      <c r="N483" s="18"/>
      <c r="O483" s="19"/>
      <c r="P483" s="8"/>
      <c r="Q483" s="8"/>
      <c r="R483" s="15"/>
    </row>
    <row r="484" ht="13.5" customHeight="1">
      <c r="B484" s="8"/>
      <c r="C484" s="8"/>
      <c r="G484" s="8"/>
      <c r="H484" s="8"/>
      <c r="I484" s="15"/>
      <c r="K484" s="20"/>
      <c r="L484" s="15"/>
      <c r="M484" s="17"/>
      <c r="N484" s="18"/>
      <c r="O484" s="19"/>
      <c r="P484" s="8"/>
      <c r="Q484" s="8"/>
      <c r="R484" s="15"/>
    </row>
    <row r="485" ht="13.5" customHeight="1">
      <c r="B485" s="8"/>
      <c r="C485" s="8"/>
      <c r="G485" s="8"/>
      <c r="H485" s="8"/>
      <c r="I485" s="15"/>
      <c r="K485" s="20"/>
      <c r="L485" s="15"/>
      <c r="M485" s="17"/>
      <c r="N485" s="18"/>
      <c r="O485" s="19"/>
      <c r="P485" s="8"/>
      <c r="Q485" s="8"/>
      <c r="R485" s="15"/>
    </row>
    <row r="486" ht="13.5" customHeight="1">
      <c r="B486" s="8"/>
      <c r="C486" s="8"/>
      <c r="G486" s="8"/>
      <c r="H486" s="8"/>
      <c r="I486" s="15"/>
      <c r="K486" s="20"/>
      <c r="L486" s="15"/>
      <c r="M486" s="17"/>
      <c r="N486" s="18"/>
      <c r="O486" s="19"/>
      <c r="P486" s="8"/>
      <c r="Q486" s="8"/>
      <c r="R486" s="15"/>
    </row>
    <row r="487" ht="13.5" customHeight="1">
      <c r="B487" s="8"/>
      <c r="C487" s="8"/>
      <c r="G487" s="8"/>
      <c r="H487" s="8"/>
      <c r="I487" s="15"/>
      <c r="K487" s="20"/>
      <c r="L487" s="15"/>
      <c r="M487" s="17"/>
      <c r="N487" s="18"/>
      <c r="O487" s="19"/>
      <c r="P487" s="8"/>
      <c r="Q487" s="8"/>
      <c r="R487" s="15"/>
    </row>
    <row r="488" ht="13.5" customHeight="1">
      <c r="B488" s="8"/>
      <c r="C488" s="8"/>
      <c r="G488" s="8"/>
      <c r="H488" s="8"/>
      <c r="I488" s="15"/>
      <c r="K488" s="20"/>
      <c r="L488" s="15"/>
      <c r="M488" s="17"/>
      <c r="N488" s="18"/>
      <c r="O488" s="19"/>
      <c r="P488" s="8"/>
      <c r="Q488" s="8"/>
      <c r="R488" s="15"/>
    </row>
    <row r="489" ht="13.5" customHeight="1">
      <c r="B489" s="8"/>
      <c r="C489" s="8"/>
      <c r="G489" s="8"/>
      <c r="H489" s="8"/>
      <c r="I489" s="15"/>
      <c r="K489" s="20"/>
      <c r="L489" s="15"/>
      <c r="M489" s="17"/>
      <c r="N489" s="18"/>
      <c r="O489" s="19"/>
      <c r="P489" s="8"/>
      <c r="Q489" s="8"/>
      <c r="R489" s="15"/>
    </row>
    <row r="490" ht="13.5" customHeight="1">
      <c r="B490" s="8"/>
      <c r="C490" s="8"/>
      <c r="G490" s="8"/>
      <c r="H490" s="8"/>
      <c r="I490" s="15"/>
      <c r="K490" s="20"/>
      <c r="L490" s="15"/>
      <c r="M490" s="17"/>
      <c r="N490" s="18"/>
      <c r="O490" s="19"/>
      <c r="P490" s="8"/>
      <c r="Q490" s="8"/>
      <c r="R490" s="15"/>
    </row>
    <row r="491" ht="13.5" customHeight="1">
      <c r="B491" s="8"/>
      <c r="C491" s="8"/>
      <c r="G491" s="8"/>
      <c r="H491" s="8"/>
      <c r="I491" s="15"/>
      <c r="K491" s="20"/>
      <c r="L491" s="15"/>
      <c r="M491" s="17"/>
      <c r="N491" s="18"/>
      <c r="O491" s="19"/>
      <c r="P491" s="8"/>
      <c r="Q491" s="8"/>
      <c r="R491" s="15"/>
    </row>
    <row r="492" ht="13.5" customHeight="1">
      <c r="B492" s="8"/>
      <c r="C492" s="8"/>
      <c r="G492" s="8"/>
      <c r="H492" s="8"/>
      <c r="I492" s="15"/>
      <c r="K492" s="20"/>
      <c r="L492" s="15"/>
      <c r="M492" s="17"/>
      <c r="N492" s="18"/>
      <c r="O492" s="19"/>
      <c r="P492" s="8"/>
      <c r="Q492" s="8"/>
      <c r="R492" s="15"/>
    </row>
    <row r="493" ht="13.5" customHeight="1">
      <c r="B493" s="8"/>
      <c r="C493" s="8"/>
      <c r="G493" s="8"/>
      <c r="H493" s="8"/>
      <c r="I493" s="15"/>
      <c r="K493" s="20"/>
      <c r="L493" s="15"/>
      <c r="M493" s="17"/>
      <c r="N493" s="18"/>
      <c r="O493" s="19"/>
      <c r="P493" s="8"/>
      <c r="Q493" s="8"/>
      <c r="R493" s="15"/>
    </row>
    <row r="494" ht="13.5" customHeight="1">
      <c r="B494" s="8"/>
      <c r="C494" s="8"/>
      <c r="G494" s="8"/>
      <c r="H494" s="8"/>
      <c r="I494" s="15"/>
      <c r="K494" s="20"/>
      <c r="L494" s="15"/>
      <c r="M494" s="17"/>
      <c r="N494" s="18"/>
      <c r="O494" s="19"/>
      <c r="P494" s="8"/>
      <c r="Q494" s="8"/>
      <c r="R494" s="15"/>
    </row>
    <row r="495" ht="13.5" customHeight="1">
      <c r="B495" s="8"/>
      <c r="C495" s="8"/>
      <c r="G495" s="8"/>
      <c r="H495" s="8"/>
      <c r="I495" s="15"/>
      <c r="K495" s="20"/>
      <c r="L495" s="15"/>
      <c r="M495" s="17"/>
      <c r="N495" s="18"/>
      <c r="O495" s="19"/>
      <c r="P495" s="8"/>
      <c r="Q495" s="8"/>
      <c r="R495" s="15"/>
    </row>
    <row r="496" ht="13.5" customHeight="1">
      <c r="B496" s="8"/>
      <c r="C496" s="8"/>
      <c r="G496" s="8"/>
      <c r="H496" s="8"/>
      <c r="I496" s="15"/>
      <c r="K496" s="20"/>
      <c r="L496" s="15"/>
      <c r="M496" s="17"/>
      <c r="N496" s="18"/>
      <c r="O496" s="19"/>
      <c r="P496" s="8"/>
      <c r="Q496" s="8"/>
      <c r="R496" s="15"/>
    </row>
    <row r="497" ht="13.5" customHeight="1">
      <c r="B497" s="8"/>
      <c r="C497" s="8"/>
      <c r="G497" s="8"/>
      <c r="H497" s="8"/>
      <c r="I497" s="15"/>
      <c r="K497" s="20"/>
      <c r="L497" s="15"/>
      <c r="M497" s="17"/>
      <c r="N497" s="18"/>
      <c r="O497" s="19"/>
      <c r="P497" s="8"/>
      <c r="Q497" s="8"/>
      <c r="R497" s="15"/>
    </row>
    <row r="498" ht="13.5" customHeight="1">
      <c r="B498" s="8"/>
      <c r="C498" s="8"/>
      <c r="G498" s="8"/>
      <c r="H498" s="8"/>
      <c r="I498" s="15"/>
      <c r="K498" s="20"/>
      <c r="L498" s="15"/>
      <c r="M498" s="17"/>
      <c r="N498" s="18"/>
      <c r="O498" s="19"/>
      <c r="P498" s="8"/>
      <c r="Q498" s="8"/>
      <c r="R498" s="15"/>
    </row>
    <row r="499" ht="13.5" customHeight="1">
      <c r="B499" s="8"/>
      <c r="C499" s="8"/>
      <c r="G499" s="8"/>
      <c r="H499" s="8"/>
      <c r="I499" s="15"/>
      <c r="K499" s="20"/>
      <c r="L499" s="15"/>
      <c r="M499" s="17"/>
      <c r="N499" s="18"/>
      <c r="O499" s="19"/>
      <c r="P499" s="8"/>
      <c r="Q499" s="8"/>
      <c r="R499" s="15"/>
    </row>
    <row r="500" ht="13.5" customHeight="1">
      <c r="B500" s="8"/>
      <c r="C500" s="8"/>
      <c r="G500" s="8"/>
      <c r="H500" s="8"/>
      <c r="I500" s="15"/>
      <c r="K500" s="20"/>
      <c r="L500" s="15"/>
      <c r="M500" s="17"/>
      <c r="N500" s="18"/>
      <c r="O500" s="19"/>
      <c r="P500" s="8"/>
      <c r="Q500" s="8"/>
      <c r="R500" s="15"/>
    </row>
    <row r="501" ht="13.5" customHeight="1">
      <c r="B501" s="8"/>
      <c r="C501" s="8"/>
      <c r="G501" s="8"/>
      <c r="H501" s="8"/>
      <c r="I501" s="15"/>
      <c r="K501" s="20"/>
      <c r="L501" s="15"/>
      <c r="M501" s="17"/>
      <c r="N501" s="18"/>
      <c r="O501" s="19"/>
      <c r="P501" s="8"/>
      <c r="Q501" s="8"/>
      <c r="R501" s="15"/>
    </row>
    <row r="502" ht="13.5" customHeight="1">
      <c r="B502" s="8"/>
      <c r="C502" s="8"/>
      <c r="G502" s="8"/>
      <c r="H502" s="8"/>
      <c r="I502" s="15"/>
      <c r="K502" s="20"/>
      <c r="L502" s="15"/>
      <c r="M502" s="17"/>
      <c r="N502" s="18"/>
      <c r="O502" s="19"/>
      <c r="P502" s="8"/>
      <c r="Q502" s="8"/>
      <c r="R502" s="15"/>
    </row>
    <row r="503" ht="13.5" customHeight="1">
      <c r="B503" s="8"/>
      <c r="C503" s="8"/>
      <c r="G503" s="8"/>
      <c r="H503" s="8"/>
      <c r="I503" s="15"/>
      <c r="K503" s="20"/>
      <c r="L503" s="15"/>
      <c r="M503" s="17"/>
      <c r="N503" s="18"/>
      <c r="O503" s="19"/>
      <c r="P503" s="8"/>
      <c r="Q503" s="8"/>
      <c r="R503" s="15"/>
    </row>
    <row r="504" ht="13.5" customHeight="1">
      <c r="B504" s="8"/>
      <c r="C504" s="8"/>
      <c r="G504" s="8"/>
      <c r="H504" s="8"/>
      <c r="I504" s="15"/>
      <c r="K504" s="20"/>
      <c r="L504" s="15"/>
      <c r="M504" s="17"/>
      <c r="N504" s="18"/>
      <c r="O504" s="19"/>
      <c r="P504" s="8"/>
      <c r="Q504" s="8"/>
      <c r="R504" s="15"/>
    </row>
    <row r="505" ht="13.5" customHeight="1">
      <c r="B505" s="8"/>
      <c r="C505" s="8"/>
      <c r="G505" s="8"/>
      <c r="H505" s="8"/>
      <c r="I505" s="15"/>
      <c r="K505" s="20"/>
      <c r="L505" s="15"/>
      <c r="M505" s="17"/>
      <c r="N505" s="18"/>
      <c r="O505" s="19"/>
      <c r="P505" s="8"/>
      <c r="Q505" s="8"/>
      <c r="R505" s="15"/>
    </row>
    <row r="506" ht="13.5" customHeight="1">
      <c r="B506" s="8"/>
      <c r="C506" s="8"/>
      <c r="G506" s="8"/>
      <c r="H506" s="8"/>
      <c r="I506" s="15"/>
      <c r="K506" s="20"/>
      <c r="L506" s="15"/>
      <c r="M506" s="17"/>
      <c r="N506" s="18"/>
      <c r="O506" s="19"/>
      <c r="P506" s="8"/>
      <c r="Q506" s="8"/>
      <c r="R506" s="15"/>
    </row>
    <row r="507" ht="13.5" customHeight="1">
      <c r="B507" s="8"/>
      <c r="C507" s="8"/>
      <c r="G507" s="8"/>
      <c r="H507" s="8"/>
      <c r="I507" s="15"/>
      <c r="K507" s="20"/>
      <c r="L507" s="15"/>
      <c r="M507" s="17"/>
      <c r="N507" s="18"/>
      <c r="O507" s="19"/>
      <c r="P507" s="8"/>
      <c r="Q507" s="8"/>
      <c r="R507" s="15"/>
    </row>
    <row r="508" ht="13.5" customHeight="1">
      <c r="B508" s="8"/>
      <c r="C508" s="8"/>
      <c r="G508" s="8"/>
      <c r="H508" s="8"/>
      <c r="I508" s="15"/>
      <c r="K508" s="20"/>
      <c r="L508" s="15"/>
      <c r="M508" s="17"/>
      <c r="N508" s="18"/>
      <c r="O508" s="19"/>
      <c r="P508" s="8"/>
      <c r="Q508" s="8"/>
      <c r="R508" s="15"/>
    </row>
    <row r="509" ht="13.5" customHeight="1">
      <c r="B509" s="8"/>
      <c r="C509" s="8"/>
      <c r="G509" s="8"/>
      <c r="H509" s="8"/>
      <c r="I509" s="15"/>
      <c r="K509" s="20"/>
      <c r="L509" s="15"/>
      <c r="M509" s="17"/>
      <c r="N509" s="18"/>
      <c r="O509" s="19"/>
      <c r="P509" s="8"/>
      <c r="Q509" s="8"/>
      <c r="R509" s="15"/>
    </row>
    <row r="510" ht="13.5" customHeight="1">
      <c r="B510" s="8"/>
      <c r="C510" s="8"/>
      <c r="G510" s="8"/>
      <c r="H510" s="8"/>
      <c r="I510" s="15"/>
      <c r="K510" s="20"/>
      <c r="L510" s="15"/>
      <c r="M510" s="17"/>
      <c r="N510" s="18"/>
      <c r="O510" s="19"/>
      <c r="P510" s="8"/>
      <c r="Q510" s="8"/>
      <c r="R510" s="15"/>
    </row>
    <row r="511" ht="13.5" customHeight="1">
      <c r="B511" s="8"/>
      <c r="C511" s="8"/>
      <c r="G511" s="8"/>
      <c r="H511" s="8"/>
      <c r="I511" s="15"/>
      <c r="K511" s="20"/>
      <c r="L511" s="15"/>
      <c r="M511" s="17"/>
      <c r="N511" s="18"/>
      <c r="O511" s="19"/>
      <c r="P511" s="8"/>
      <c r="Q511" s="8"/>
      <c r="R511" s="15"/>
    </row>
    <row r="512" ht="13.5" customHeight="1">
      <c r="B512" s="8"/>
      <c r="C512" s="8"/>
      <c r="G512" s="8"/>
      <c r="H512" s="8"/>
      <c r="I512" s="15"/>
      <c r="K512" s="20"/>
      <c r="L512" s="15"/>
      <c r="M512" s="17"/>
      <c r="N512" s="18"/>
      <c r="O512" s="19"/>
      <c r="P512" s="8"/>
      <c r="Q512" s="8"/>
      <c r="R512" s="15"/>
    </row>
    <row r="513" ht="13.5" customHeight="1">
      <c r="B513" s="8"/>
      <c r="C513" s="8"/>
      <c r="G513" s="8"/>
      <c r="H513" s="8"/>
      <c r="I513" s="15"/>
      <c r="K513" s="20"/>
      <c r="L513" s="15"/>
      <c r="M513" s="17"/>
      <c r="N513" s="18"/>
      <c r="O513" s="19"/>
      <c r="P513" s="8"/>
      <c r="Q513" s="8"/>
      <c r="R513" s="15"/>
    </row>
    <row r="514" ht="13.5" customHeight="1">
      <c r="B514" s="8"/>
      <c r="C514" s="8"/>
      <c r="G514" s="8"/>
      <c r="H514" s="8"/>
      <c r="I514" s="15"/>
      <c r="K514" s="20"/>
      <c r="L514" s="15"/>
      <c r="M514" s="17"/>
      <c r="N514" s="18"/>
      <c r="O514" s="19"/>
      <c r="P514" s="8"/>
      <c r="Q514" s="8"/>
      <c r="R514" s="15"/>
    </row>
    <row r="515" ht="13.5" customHeight="1">
      <c r="B515" s="8"/>
      <c r="C515" s="8"/>
      <c r="G515" s="8"/>
      <c r="H515" s="8"/>
      <c r="I515" s="15"/>
      <c r="K515" s="20"/>
      <c r="L515" s="15"/>
      <c r="M515" s="17"/>
      <c r="N515" s="18"/>
      <c r="O515" s="19"/>
      <c r="P515" s="8"/>
      <c r="Q515" s="8"/>
      <c r="R515" s="15"/>
    </row>
    <row r="516" ht="13.5" customHeight="1">
      <c r="B516" s="8"/>
      <c r="C516" s="8"/>
      <c r="G516" s="8"/>
      <c r="H516" s="8"/>
      <c r="I516" s="15"/>
      <c r="K516" s="20"/>
      <c r="L516" s="15"/>
      <c r="M516" s="17"/>
      <c r="N516" s="18"/>
      <c r="O516" s="19"/>
      <c r="P516" s="8"/>
      <c r="Q516" s="8"/>
      <c r="R516" s="15"/>
    </row>
    <row r="517" ht="13.5" customHeight="1">
      <c r="B517" s="8"/>
      <c r="C517" s="8"/>
      <c r="G517" s="8"/>
      <c r="H517" s="8"/>
      <c r="I517" s="15"/>
      <c r="K517" s="20"/>
      <c r="L517" s="15"/>
      <c r="M517" s="17"/>
      <c r="N517" s="18"/>
      <c r="O517" s="19"/>
      <c r="P517" s="8"/>
      <c r="Q517" s="8"/>
      <c r="R517" s="15"/>
    </row>
    <row r="518" ht="13.5" customHeight="1">
      <c r="B518" s="8"/>
      <c r="C518" s="8"/>
      <c r="G518" s="8"/>
      <c r="H518" s="8"/>
      <c r="I518" s="15"/>
      <c r="K518" s="20"/>
      <c r="L518" s="15"/>
      <c r="M518" s="17"/>
      <c r="N518" s="18"/>
      <c r="O518" s="19"/>
      <c r="P518" s="8"/>
      <c r="Q518" s="8"/>
      <c r="R518" s="15"/>
    </row>
    <row r="519" ht="13.5" customHeight="1">
      <c r="B519" s="8"/>
      <c r="C519" s="8"/>
      <c r="G519" s="8"/>
      <c r="H519" s="8"/>
      <c r="I519" s="15"/>
      <c r="K519" s="20"/>
      <c r="L519" s="15"/>
      <c r="M519" s="17"/>
      <c r="N519" s="18"/>
      <c r="O519" s="19"/>
      <c r="P519" s="8"/>
      <c r="Q519" s="8"/>
      <c r="R519" s="15"/>
    </row>
    <row r="520" ht="13.5" customHeight="1">
      <c r="B520" s="8"/>
      <c r="C520" s="8"/>
      <c r="G520" s="8"/>
      <c r="H520" s="8"/>
      <c r="I520" s="15"/>
      <c r="K520" s="20"/>
      <c r="L520" s="15"/>
      <c r="M520" s="17"/>
      <c r="N520" s="18"/>
      <c r="O520" s="19"/>
      <c r="P520" s="8"/>
      <c r="Q520" s="8"/>
      <c r="R520" s="15"/>
    </row>
    <row r="521" ht="13.5" customHeight="1">
      <c r="B521" s="8"/>
      <c r="C521" s="8"/>
      <c r="G521" s="8"/>
      <c r="H521" s="8"/>
      <c r="I521" s="15"/>
      <c r="K521" s="20"/>
      <c r="L521" s="15"/>
      <c r="M521" s="17"/>
      <c r="N521" s="18"/>
      <c r="O521" s="19"/>
      <c r="P521" s="8"/>
      <c r="Q521" s="8"/>
      <c r="R521" s="15"/>
    </row>
    <row r="522" ht="13.5" customHeight="1">
      <c r="B522" s="8"/>
      <c r="C522" s="8"/>
      <c r="G522" s="8"/>
      <c r="H522" s="8"/>
      <c r="I522" s="15"/>
      <c r="K522" s="20"/>
      <c r="L522" s="15"/>
      <c r="M522" s="17"/>
      <c r="N522" s="18"/>
      <c r="O522" s="19"/>
      <c r="P522" s="8"/>
      <c r="Q522" s="8"/>
      <c r="R522" s="15"/>
    </row>
    <row r="523" ht="13.5" customHeight="1">
      <c r="B523" s="8"/>
      <c r="C523" s="8"/>
      <c r="G523" s="8"/>
      <c r="H523" s="8"/>
      <c r="I523" s="15"/>
      <c r="K523" s="20"/>
      <c r="L523" s="15"/>
      <c r="M523" s="17"/>
      <c r="N523" s="18"/>
      <c r="O523" s="19"/>
      <c r="P523" s="8"/>
      <c r="Q523" s="8"/>
      <c r="R523" s="15"/>
    </row>
    <row r="524" ht="13.5" customHeight="1">
      <c r="B524" s="8"/>
      <c r="C524" s="8"/>
      <c r="G524" s="8"/>
      <c r="H524" s="8"/>
      <c r="I524" s="15"/>
      <c r="K524" s="20"/>
      <c r="L524" s="15"/>
      <c r="M524" s="17"/>
      <c r="N524" s="18"/>
      <c r="O524" s="19"/>
      <c r="P524" s="8"/>
      <c r="Q524" s="8"/>
      <c r="R524" s="15"/>
    </row>
    <row r="525" ht="13.5" customHeight="1">
      <c r="B525" s="8"/>
      <c r="C525" s="8"/>
      <c r="G525" s="8"/>
      <c r="H525" s="8"/>
      <c r="I525" s="15"/>
      <c r="K525" s="20"/>
      <c r="L525" s="15"/>
      <c r="M525" s="17"/>
      <c r="N525" s="18"/>
      <c r="O525" s="19"/>
      <c r="P525" s="8"/>
      <c r="Q525" s="8"/>
      <c r="R525" s="15"/>
    </row>
    <row r="526" ht="13.5" customHeight="1">
      <c r="B526" s="8"/>
      <c r="C526" s="8"/>
      <c r="G526" s="8"/>
      <c r="H526" s="8"/>
      <c r="I526" s="15"/>
      <c r="K526" s="20"/>
      <c r="L526" s="15"/>
      <c r="M526" s="17"/>
      <c r="N526" s="18"/>
      <c r="O526" s="19"/>
      <c r="P526" s="8"/>
      <c r="Q526" s="8"/>
      <c r="R526" s="15"/>
    </row>
    <row r="527" ht="13.5" customHeight="1">
      <c r="B527" s="8"/>
      <c r="C527" s="8"/>
      <c r="G527" s="8"/>
      <c r="H527" s="8"/>
      <c r="I527" s="15"/>
      <c r="K527" s="20"/>
      <c r="L527" s="15"/>
      <c r="M527" s="17"/>
      <c r="N527" s="18"/>
      <c r="O527" s="19"/>
      <c r="P527" s="8"/>
      <c r="Q527" s="8"/>
      <c r="R527" s="15"/>
    </row>
    <row r="528" ht="13.5" customHeight="1">
      <c r="B528" s="8"/>
      <c r="C528" s="8"/>
      <c r="G528" s="8"/>
      <c r="H528" s="8"/>
      <c r="I528" s="15"/>
      <c r="K528" s="20"/>
      <c r="L528" s="15"/>
      <c r="M528" s="17"/>
      <c r="N528" s="18"/>
      <c r="O528" s="19"/>
      <c r="P528" s="8"/>
      <c r="Q528" s="8"/>
      <c r="R528" s="15"/>
    </row>
    <row r="529" ht="13.5" customHeight="1">
      <c r="B529" s="8"/>
      <c r="C529" s="8"/>
      <c r="G529" s="8"/>
      <c r="H529" s="8"/>
      <c r="I529" s="15"/>
      <c r="K529" s="20"/>
      <c r="L529" s="15"/>
      <c r="M529" s="17"/>
      <c r="N529" s="18"/>
      <c r="O529" s="19"/>
      <c r="P529" s="8"/>
      <c r="Q529" s="8"/>
      <c r="R529" s="15"/>
    </row>
    <row r="530" ht="13.5" customHeight="1">
      <c r="B530" s="8"/>
      <c r="C530" s="8"/>
      <c r="G530" s="8"/>
      <c r="H530" s="8"/>
      <c r="I530" s="15"/>
      <c r="K530" s="20"/>
      <c r="L530" s="15"/>
      <c r="M530" s="17"/>
      <c r="N530" s="18"/>
      <c r="O530" s="19"/>
      <c r="P530" s="8"/>
      <c r="Q530" s="8"/>
      <c r="R530" s="15"/>
    </row>
    <row r="531" ht="13.5" customHeight="1">
      <c r="B531" s="8"/>
      <c r="C531" s="8"/>
      <c r="G531" s="8"/>
      <c r="H531" s="8"/>
      <c r="I531" s="15"/>
      <c r="K531" s="20"/>
      <c r="L531" s="15"/>
      <c r="M531" s="17"/>
      <c r="N531" s="18"/>
      <c r="O531" s="19"/>
      <c r="P531" s="8"/>
      <c r="Q531" s="8"/>
      <c r="R531" s="15"/>
    </row>
    <row r="532" ht="13.5" customHeight="1">
      <c r="B532" s="8"/>
      <c r="C532" s="8"/>
      <c r="G532" s="8"/>
      <c r="H532" s="8"/>
      <c r="I532" s="15"/>
      <c r="K532" s="20"/>
      <c r="L532" s="15"/>
      <c r="M532" s="17"/>
      <c r="N532" s="18"/>
      <c r="O532" s="19"/>
      <c r="P532" s="8"/>
      <c r="Q532" s="8"/>
      <c r="R532" s="15"/>
    </row>
    <row r="533" ht="13.5" customHeight="1">
      <c r="B533" s="8"/>
      <c r="C533" s="8"/>
      <c r="G533" s="8"/>
      <c r="H533" s="8"/>
      <c r="I533" s="15"/>
      <c r="K533" s="20"/>
      <c r="L533" s="15"/>
      <c r="M533" s="17"/>
      <c r="N533" s="18"/>
      <c r="O533" s="19"/>
      <c r="P533" s="8"/>
      <c r="Q533" s="8"/>
      <c r="R533" s="15"/>
    </row>
    <row r="534" ht="13.5" customHeight="1">
      <c r="B534" s="8"/>
      <c r="C534" s="8"/>
      <c r="G534" s="8"/>
      <c r="H534" s="8"/>
      <c r="I534" s="15"/>
      <c r="K534" s="20"/>
      <c r="L534" s="15"/>
      <c r="M534" s="17"/>
      <c r="N534" s="18"/>
      <c r="O534" s="19"/>
      <c r="P534" s="8"/>
      <c r="Q534" s="8"/>
      <c r="R534" s="15"/>
    </row>
    <row r="535" ht="13.5" customHeight="1">
      <c r="B535" s="8"/>
      <c r="C535" s="8"/>
      <c r="G535" s="8"/>
      <c r="H535" s="8"/>
      <c r="I535" s="15"/>
      <c r="K535" s="20"/>
      <c r="L535" s="15"/>
      <c r="M535" s="17"/>
      <c r="N535" s="18"/>
      <c r="O535" s="19"/>
      <c r="P535" s="8"/>
      <c r="Q535" s="8"/>
      <c r="R535" s="15"/>
    </row>
    <row r="536" ht="13.5" customHeight="1">
      <c r="B536" s="8"/>
      <c r="C536" s="8"/>
      <c r="G536" s="8"/>
      <c r="H536" s="8"/>
      <c r="I536" s="15"/>
      <c r="K536" s="20"/>
      <c r="L536" s="15"/>
      <c r="M536" s="17"/>
      <c r="N536" s="18"/>
      <c r="O536" s="19"/>
      <c r="P536" s="8"/>
      <c r="Q536" s="8"/>
      <c r="R536" s="15"/>
    </row>
    <row r="537" ht="13.5" customHeight="1">
      <c r="B537" s="8"/>
      <c r="C537" s="8"/>
      <c r="G537" s="8"/>
      <c r="H537" s="8"/>
      <c r="I537" s="15"/>
      <c r="K537" s="20"/>
      <c r="L537" s="15"/>
      <c r="M537" s="17"/>
      <c r="N537" s="18"/>
      <c r="O537" s="19"/>
      <c r="P537" s="8"/>
      <c r="Q537" s="8"/>
      <c r="R537" s="15"/>
    </row>
    <row r="538" ht="13.5" customHeight="1">
      <c r="B538" s="8"/>
      <c r="C538" s="8"/>
      <c r="G538" s="8"/>
      <c r="H538" s="8"/>
      <c r="I538" s="15"/>
      <c r="K538" s="20"/>
      <c r="L538" s="15"/>
      <c r="M538" s="17"/>
      <c r="N538" s="18"/>
      <c r="O538" s="19"/>
      <c r="P538" s="8"/>
      <c r="Q538" s="8"/>
      <c r="R538" s="15"/>
    </row>
    <row r="539" ht="13.5" customHeight="1">
      <c r="B539" s="8"/>
      <c r="C539" s="8"/>
      <c r="G539" s="8"/>
      <c r="H539" s="8"/>
      <c r="I539" s="15"/>
      <c r="K539" s="20"/>
      <c r="L539" s="15"/>
      <c r="M539" s="17"/>
      <c r="N539" s="18"/>
      <c r="O539" s="19"/>
      <c r="P539" s="8"/>
      <c r="Q539" s="8"/>
      <c r="R539" s="15"/>
    </row>
    <row r="540" ht="13.5" customHeight="1">
      <c r="B540" s="8"/>
      <c r="C540" s="8"/>
      <c r="G540" s="8"/>
      <c r="H540" s="8"/>
      <c r="I540" s="15"/>
      <c r="K540" s="20"/>
      <c r="L540" s="15"/>
      <c r="M540" s="17"/>
      <c r="N540" s="18"/>
      <c r="O540" s="19"/>
      <c r="P540" s="8"/>
      <c r="Q540" s="8"/>
      <c r="R540" s="15"/>
    </row>
    <row r="541" ht="13.5" customHeight="1">
      <c r="B541" s="8"/>
      <c r="C541" s="8"/>
      <c r="G541" s="8"/>
      <c r="H541" s="8"/>
      <c r="I541" s="15"/>
      <c r="K541" s="20"/>
      <c r="L541" s="15"/>
      <c r="M541" s="17"/>
      <c r="N541" s="18"/>
      <c r="O541" s="19"/>
      <c r="P541" s="8"/>
      <c r="Q541" s="8"/>
      <c r="R541" s="15"/>
    </row>
    <row r="542" ht="13.5" customHeight="1">
      <c r="B542" s="8"/>
      <c r="C542" s="8"/>
      <c r="G542" s="8"/>
      <c r="H542" s="8"/>
      <c r="I542" s="15"/>
      <c r="K542" s="20"/>
      <c r="L542" s="15"/>
      <c r="M542" s="17"/>
      <c r="N542" s="18"/>
      <c r="O542" s="19"/>
      <c r="P542" s="8"/>
      <c r="Q542" s="8"/>
      <c r="R542" s="15"/>
    </row>
    <row r="543" ht="13.5" customHeight="1">
      <c r="B543" s="8"/>
      <c r="C543" s="8"/>
      <c r="G543" s="8"/>
      <c r="H543" s="8"/>
      <c r="I543" s="15"/>
      <c r="K543" s="20"/>
      <c r="L543" s="15"/>
      <c r="M543" s="17"/>
      <c r="N543" s="18"/>
      <c r="O543" s="19"/>
      <c r="P543" s="8"/>
      <c r="Q543" s="8"/>
      <c r="R543" s="15"/>
    </row>
    <row r="544" ht="13.5" customHeight="1">
      <c r="B544" s="8"/>
      <c r="C544" s="8"/>
      <c r="G544" s="8"/>
      <c r="H544" s="8"/>
      <c r="I544" s="15"/>
      <c r="K544" s="20"/>
      <c r="L544" s="15"/>
      <c r="M544" s="17"/>
      <c r="N544" s="18"/>
      <c r="O544" s="19"/>
      <c r="P544" s="8"/>
      <c r="Q544" s="8"/>
      <c r="R544" s="15"/>
    </row>
    <row r="545" ht="13.5" customHeight="1">
      <c r="B545" s="8"/>
      <c r="C545" s="8"/>
      <c r="G545" s="8"/>
      <c r="H545" s="8"/>
      <c r="I545" s="15"/>
      <c r="K545" s="20"/>
      <c r="L545" s="15"/>
      <c r="M545" s="17"/>
      <c r="N545" s="18"/>
      <c r="O545" s="19"/>
      <c r="P545" s="8"/>
      <c r="Q545" s="8"/>
      <c r="R545" s="15"/>
    </row>
    <row r="546" ht="13.5" customHeight="1">
      <c r="B546" s="8"/>
      <c r="C546" s="8"/>
      <c r="G546" s="8"/>
      <c r="H546" s="8"/>
      <c r="I546" s="15"/>
      <c r="K546" s="20"/>
      <c r="L546" s="15"/>
      <c r="M546" s="17"/>
      <c r="N546" s="18"/>
      <c r="O546" s="19"/>
      <c r="P546" s="8"/>
      <c r="Q546" s="8"/>
      <c r="R546" s="15"/>
    </row>
    <row r="547" ht="13.5" customHeight="1">
      <c r="B547" s="8"/>
      <c r="C547" s="8"/>
      <c r="G547" s="8"/>
      <c r="H547" s="8"/>
      <c r="I547" s="15"/>
      <c r="K547" s="20"/>
      <c r="L547" s="15"/>
      <c r="M547" s="17"/>
      <c r="N547" s="18"/>
      <c r="O547" s="19"/>
      <c r="P547" s="8"/>
      <c r="Q547" s="8"/>
      <c r="R547" s="15"/>
    </row>
    <row r="548" ht="13.5" customHeight="1">
      <c r="B548" s="8"/>
      <c r="C548" s="8"/>
      <c r="G548" s="8"/>
      <c r="H548" s="8"/>
      <c r="I548" s="15"/>
      <c r="K548" s="20"/>
      <c r="L548" s="15"/>
      <c r="M548" s="17"/>
      <c r="N548" s="18"/>
      <c r="O548" s="19"/>
      <c r="P548" s="8"/>
      <c r="Q548" s="8"/>
      <c r="R548" s="15"/>
    </row>
    <row r="549" ht="13.5" customHeight="1">
      <c r="B549" s="8"/>
      <c r="C549" s="8"/>
      <c r="G549" s="8"/>
      <c r="H549" s="8"/>
      <c r="I549" s="15"/>
      <c r="K549" s="20"/>
      <c r="L549" s="15"/>
      <c r="M549" s="17"/>
      <c r="N549" s="18"/>
      <c r="O549" s="19"/>
      <c r="P549" s="8"/>
      <c r="Q549" s="8"/>
      <c r="R549" s="15"/>
    </row>
    <row r="550" ht="13.5" customHeight="1">
      <c r="B550" s="8"/>
      <c r="C550" s="8"/>
      <c r="G550" s="8"/>
      <c r="H550" s="8"/>
      <c r="I550" s="15"/>
      <c r="K550" s="20"/>
      <c r="L550" s="15"/>
      <c r="M550" s="17"/>
      <c r="N550" s="18"/>
      <c r="O550" s="19"/>
      <c r="P550" s="8"/>
      <c r="Q550" s="8"/>
      <c r="R550" s="15"/>
    </row>
    <row r="551" ht="13.5" customHeight="1">
      <c r="B551" s="8"/>
      <c r="C551" s="8"/>
      <c r="G551" s="8"/>
      <c r="H551" s="8"/>
      <c r="I551" s="15"/>
      <c r="K551" s="20"/>
      <c r="L551" s="15"/>
      <c r="M551" s="17"/>
      <c r="N551" s="18"/>
      <c r="O551" s="19"/>
      <c r="P551" s="8"/>
      <c r="Q551" s="8"/>
      <c r="R551" s="15"/>
    </row>
    <row r="552" ht="13.5" customHeight="1">
      <c r="B552" s="8"/>
      <c r="C552" s="8"/>
      <c r="G552" s="8"/>
      <c r="H552" s="8"/>
      <c r="I552" s="15"/>
      <c r="K552" s="20"/>
      <c r="L552" s="15"/>
      <c r="M552" s="17"/>
      <c r="N552" s="18"/>
      <c r="O552" s="19"/>
      <c r="P552" s="8"/>
      <c r="Q552" s="8"/>
      <c r="R552" s="15"/>
    </row>
    <row r="553" ht="13.5" customHeight="1">
      <c r="B553" s="8"/>
      <c r="C553" s="8"/>
      <c r="G553" s="8"/>
      <c r="H553" s="8"/>
      <c r="I553" s="15"/>
      <c r="K553" s="20"/>
      <c r="L553" s="15"/>
      <c r="M553" s="17"/>
      <c r="N553" s="18"/>
      <c r="O553" s="19"/>
      <c r="P553" s="8"/>
      <c r="Q553" s="8"/>
      <c r="R553" s="15"/>
    </row>
    <row r="554" ht="13.5" customHeight="1">
      <c r="B554" s="8"/>
      <c r="C554" s="8"/>
      <c r="G554" s="8"/>
      <c r="H554" s="8"/>
      <c r="I554" s="15"/>
      <c r="K554" s="20"/>
      <c r="L554" s="15"/>
      <c r="M554" s="17"/>
      <c r="N554" s="18"/>
      <c r="O554" s="19"/>
      <c r="P554" s="8"/>
      <c r="Q554" s="8"/>
      <c r="R554" s="15"/>
    </row>
    <row r="555" ht="13.5" customHeight="1">
      <c r="B555" s="8"/>
      <c r="C555" s="8"/>
      <c r="G555" s="8"/>
      <c r="H555" s="8"/>
      <c r="I555" s="15"/>
      <c r="K555" s="20"/>
      <c r="L555" s="15"/>
      <c r="M555" s="17"/>
      <c r="N555" s="18"/>
      <c r="O555" s="19"/>
      <c r="P555" s="8"/>
      <c r="Q555" s="8"/>
      <c r="R555" s="15"/>
    </row>
    <row r="556" ht="13.5" customHeight="1">
      <c r="B556" s="8"/>
      <c r="C556" s="8"/>
      <c r="G556" s="8"/>
      <c r="H556" s="8"/>
      <c r="I556" s="15"/>
      <c r="K556" s="20"/>
      <c r="L556" s="15"/>
      <c r="M556" s="17"/>
      <c r="N556" s="18"/>
      <c r="O556" s="19"/>
      <c r="P556" s="8"/>
      <c r="Q556" s="8"/>
      <c r="R556" s="15"/>
    </row>
    <row r="557" ht="13.5" customHeight="1">
      <c r="B557" s="8"/>
      <c r="C557" s="8"/>
      <c r="G557" s="8"/>
      <c r="H557" s="8"/>
      <c r="I557" s="15"/>
      <c r="K557" s="20"/>
      <c r="L557" s="15"/>
      <c r="M557" s="17"/>
      <c r="N557" s="18"/>
      <c r="O557" s="19"/>
      <c r="P557" s="8"/>
      <c r="Q557" s="8"/>
      <c r="R557" s="15"/>
    </row>
    <row r="558" ht="13.5" customHeight="1">
      <c r="B558" s="8"/>
      <c r="C558" s="8"/>
      <c r="G558" s="8"/>
      <c r="H558" s="8"/>
      <c r="I558" s="15"/>
      <c r="K558" s="20"/>
      <c r="L558" s="15"/>
      <c r="M558" s="17"/>
      <c r="N558" s="18"/>
      <c r="O558" s="19"/>
      <c r="P558" s="8"/>
      <c r="Q558" s="8"/>
      <c r="R558" s="15"/>
    </row>
    <row r="559" ht="13.5" customHeight="1">
      <c r="B559" s="8"/>
      <c r="C559" s="8"/>
      <c r="G559" s="8"/>
      <c r="H559" s="8"/>
      <c r="I559" s="15"/>
      <c r="K559" s="20"/>
      <c r="L559" s="15"/>
      <c r="M559" s="17"/>
      <c r="N559" s="18"/>
      <c r="O559" s="19"/>
      <c r="P559" s="8"/>
      <c r="Q559" s="8"/>
      <c r="R559" s="15"/>
    </row>
    <row r="560" ht="13.5" customHeight="1">
      <c r="B560" s="8"/>
      <c r="C560" s="8"/>
      <c r="G560" s="8"/>
      <c r="H560" s="8"/>
      <c r="I560" s="15"/>
      <c r="K560" s="20"/>
      <c r="L560" s="15"/>
      <c r="M560" s="17"/>
      <c r="N560" s="18"/>
      <c r="O560" s="19"/>
      <c r="P560" s="8"/>
      <c r="Q560" s="8"/>
      <c r="R560" s="15"/>
    </row>
    <row r="561" ht="13.5" customHeight="1">
      <c r="B561" s="8"/>
      <c r="C561" s="8"/>
      <c r="G561" s="8"/>
      <c r="H561" s="8"/>
      <c r="I561" s="15"/>
      <c r="K561" s="20"/>
      <c r="L561" s="15"/>
      <c r="M561" s="17"/>
      <c r="N561" s="18"/>
      <c r="O561" s="19"/>
      <c r="P561" s="8"/>
      <c r="Q561" s="8"/>
      <c r="R561" s="15"/>
    </row>
    <row r="562" ht="13.5" customHeight="1">
      <c r="B562" s="8"/>
      <c r="C562" s="8"/>
      <c r="G562" s="8"/>
      <c r="H562" s="8"/>
      <c r="I562" s="15"/>
      <c r="K562" s="20"/>
      <c r="L562" s="15"/>
      <c r="M562" s="17"/>
      <c r="N562" s="18"/>
      <c r="O562" s="19"/>
      <c r="P562" s="8"/>
      <c r="Q562" s="8"/>
      <c r="R562" s="15"/>
    </row>
    <row r="563" ht="13.5" customHeight="1">
      <c r="B563" s="8"/>
      <c r="C563" s="8"/>
      <c r="G563" s="8"/>
      <c r="H563" s="8"/>
      <c r="I563" s="15"/>
      <c r="K563" s="20"/>
      <c r="L563" s="15"/>
      <c r="M563" s="17"/>
      <c r="N563" s="18"/>
      <c r="O563" s="19"/>
      <c r="P563" s="8"/>
      <c r="Q563" s="8"/>
      <c r="R563" s="15"/>
    </row>
    <row r="564" ht="13.5" customHeight="1">
      <c r="B564" s="8"/>
      <c r="C564" s="8"/>
      <c r="G564" s="8"/>
      <c r="H564" s="8"/>
      <c r="I564" s="15"/>
      <c r="K564" s="20"/>
      <c r="L564" s="15"/>
      <c r="M564" s="17"/>
      <c r="N564" s="18"/>
      <c r="O564" s="19"/>
      <c r="P564" s="8"/>
      <c r="Q564" s="8"/>
      <c r="R564" s="15"/>
    </row>
    <row r="565" ht="13.5" customHeight="1">
      <c r="B565" s="8"/>
      <c r="C565" s="8"/>
      <c r="G565" s="8"/>
      <c r="H565" s="8"/>
      <c r="I565" s="15"/>
      <c r="K565" s="20"/>
      <c r="L565" s="15"/>
      <c r="M565" s="17"/>
      <c r="N565" s="18"/>
      <c r="O565" s="19"/>
      <c r="P565" s="8"/>
      <c r="Q565" s="8"/>
      <c r="R565" s="15"/>
    </row>
    <row r="566" ht="13.5" customHeight="1">
      <c r="B566" s="8"/>
      <c r="C566" s="8"/>
      <c r="G566" s="8"/>
      <c r="H566" s="8"/>
      <c r="I566" s="15"/>
      <c r="K566" s="20"/>
      <c r="L566" s="15"/>
      <c r="M566" s="17"/>
      <c r="N566" s="18"/>
      <c r="O566" s="19"/>
      <c r="P566" s="8"/>
      <c r="Q566" s="8"/>
      <c r="R566" s="15"/>
    </row>
    <row r="567" ht="13.5" customHeight="1">
      <c r="B567" s="8"/>
      <c r="C567" s="8"/>
      <c r="G567" s="8"/>
      <c r="H567" s="8"/>
      <c r="I567" s="15"/>
      <c r="K567" s="20"/>
      <c r="L567" s="15"/>
      <c r="M567" s="17"/>
      <c r="N567" s="18"/>
      <c r="O567" s="19"/>
      <c r="P567" s="8"/>
      <c r="Q567" s="8"/>
      <c r="R567" s="15"/>
    </row>
    <row r="568" ht="13.5" customHeight="1">
      <c r="B568" s="8"/>
      <c r="C568" s="8"/>
      <c r="G568" s="8"/>
      <c r="H568" s="8"/>
      <c r="I568" s="15"/>
      <c r="K568" s="20"/>
      <c r="L568" s="15"/>
      <c r="M568" s="17"/>
      <c r="N568" s="18"/>
      <c r="O568" s="19"/>
      <c r="P568" s="8"/>
      <c r="Q568" s="8"/>
      <c r="R568" s="15"/>
    </row>
    <row r="569" ht="13.5" customHeight="1">
      <c r="B569" s="8"/>
      <c r="C569" s="8"/>
      <c r="G569" s="8"/>
      <c r="H569" s="8"/>
      <c r="I569" s="15"/>
      <c r="K569" s="20"/>
      <c r="L569" s="15"/>
      <c r="M569" s="17"/>
      <c r="N569" s="18"/>
      <c r="O569" s="19"/>
      <c r="P569" s="8"/>
      <c r="Q569" s="8"/>
      <c r="R569" s="15"/>
    </row>
    <row r="570" ht="13.5" customHeight="1">
      <c r="B570" s="8"/>
      <c r="C570" s="8"/>
      <c r="G570" s="8"/>
      <c r="H570" s="8"/>
      <c r="I570" s="15"/>
      <c r="K570" s="20"/>
      <c r="L570" s="15"/>
      <c r="M570" s="17"/>
      <c r="N570" s="18"/>
      <c r="O570" s="19"/>
      <c r="P570" s="8"/>
      <c r="Q570" s="8"/>
      <c r="R570" s="15"/>
    </row>
    <row r="571" ht="13.5" customHeight="1">
      <c r="B571" s="8"/>
      <c r="C571" s="8"/>
      <c r="G571" s="8"/>
      <c r="H571" s="8"/>
      <c r="I571" s="15"/>
      <c r="K571" s="20"/>
      <c r="L571" s="15"/>
      <c r="M571" s="17"/>
      <c r="N571" s="18"/>
      <c r="O571" s="19"/>
      <c r="P571" s="8"/>
      <c r="Q571" s="8"/>
      <c r="R571" s="15"/>
    </row>
    <row r="572" ht="13.5" customHeight="1">
      <c r="B572" s="8"/>
      <c r="C572" s="8"/>
      <c r="G572" s="8"/>
      <c r="H572" s="8"/>
      <c r="I572" s="15"/>
      <c r="K572" s="20"/>
      <c r="L572" s="15"/>
      <c r="M572" s="17"/>
      <c r="N572" s="18"/>
      <c r="O572" s="19"/>
      <c r="P572" s="8"/>
      <c r="Q572" s="8"/>
      <c r="R572" s="15"/>
    </row>
    <row r="573" ht="13.5" customHeight="1">
      <c r="B573" s="8"/>
      <c r="C573" s="8"/>
      <c r="G573" s="8"/>
      <c r="H573" s="8"/>
      <c r="I573" s="15"/>
      <c r="K573" s="20"/>
      <c r="L573" s="15"/>
      <c r="M573" s="17"/>
      <c r="N573" s="18"/>
      <c r="O573" s="19"/>
      <c r="P573" s="8"/>
      <c r="Q573" s="8"/>
      <c r="R573" s="15"/>
    </row>
    <row r="574" ht="13.5" customHeight="1">
      <c r="B574" s="8"/>
      <c r="C574" s="8"/>
      <c r="G574" s="8"/>
      <c r="H574" s="8"/>
      <c r="I574" s="15"/>
      <c r="K574" s="20"/>
      <c r="L574" s="15"/>
      <c r="M574" s="17"/>
      <c r="N574" s="18"/>
      <c r="O574" s="19"/>
      <c r="P574" s="8"/>
      <c r="Q574" s="8"/>
      <c r="R574" s="15"/>
    </row>
    <row r="575" ht="13.5" customHeight="1">
      <c r="B575" s="8"/>
      <c r="C575" s="8"/>
      <c r="G575" s="8"/>
      <c r="H575" s="8"/>
      <c r="I575" s="15"/>
      <c r="K575" s="20"/>
      <c r="L575" s="15"/>
      <c r="M575" s="17"/>
      <c r="N575" s="18"/>
      <c r="O575" s="19"/>
      <c r="P575" s="8"/>
      <c r="Q575" s="8"/>
      <c r="R575" s="15"/>
    </row>
    <row r="576" ht="13.5" customHeight="1">
      <c r="B576" s="8"/>
      <c r="C576" s="8"/>
      <c r="G576" s="8"/>
      <c r="H576" s="8"/>
      <c r="I576" s="15"/>
      <c r="K576" s="20"/>
      <c r="L576" s="15"/>
      <c r="M576" s="17"/>
      <c r="N576" s="18"/>
      <c r="O576" s="19"/>
      <c r="P576" s="8"/>
      <c r="Q576" s="8"/>
      <c r="R576" s="15"/>
    </row>
    <row r="577" ht="13.5" customHeight="1">
      <c r="B577" s="8"/>
      <c r="C577" s="8"/>
      <c r="G577" s="8"/>
      <c r="H577" s="8"/>
      <c r="I577" s="15"/>
      <c r="K577" s="20"/>
      <c r="L577" s="15"/>
      <c r="M577" s="17"/>
      <c r="N577" s="18"/>
      <c r="O577" s="19"/>
      <c r="P577" s="8"/>
      <c r="Q577" s="8"/>
      <c r="R577" s="15"/>
    </row>
    <row r="578" ht="13.5" customHeight="1">
      <c r="B578" s="8"/>
      <c r="C578" s="8"/>
      <c r="G578" s="8"/>
      <c r="H578" s="8"/>
      <c r="I578" s="15"/>
      <c r="K578" s="20"/>
      <c r="L578" s="15"/>
      <c r="M578" s="17"/>
      <c r="N578" s="18"/>
      <c r="O578" s="19"/>
      <c r="P578" s="8"/>
      <c r="Q578" s="8"/>
      <c r="R578" s="15"/>
    </row>
    <row r="579" ht="13.5" customHeight="1">
      <c r="B579" s="8"/>
      <c r="C579" s="8"/>
      <c r="G579" s="8"/>
      <c r="H579" s="8"/>
      <c r="I579" s="15"/>
      <c r="K579" s="20"/>
      <c r="L579" s="15"/>
      <c r="M579" s="17"/>
      <c r="N579" s="18"/>
      <c r="O579" s="19"/>
      <c r="P579" s="8"/>
      <c r="Q579" s="8"/>
      <c r="R579" s="15"/>
    </row>
    <row r="580" ht="13.5" customHeight="1">
      <c r="B580" s="8"/>
      <c r="C580" s="8"/>
      <c r="G580" s="8"/>
      <c r="H580" s="8"/>
      <c r="I580" s="15"/>
      <c r="K580" s="20"/>
      <c r="L580" s="15"/>
      <c r="M580" s="17"/>
      <c r="N580" s="18"/>
      <c r="O580" s="19"/>
      <c r="P580" s="8"/>
      <c r="Q580" s="8"/>
      <c r="R580" s="15"/>
    </row>
    <row r="581" ht="13.5" customHeight="1">
      <c r="B581" s="8"/>
      <c r="C581" s="8"/>
      <c r="G581" s="8"/>
      <c r="H581" s="8"/>
      <c r="I581" s="15"/>
      <c r="K581" s="20"/>
      <c r="L581" s="15"/>
      <c r="M581" s="17"/>
      <c r="N581" s="18"/>
      <c r="O581" s="19"/>
      <c r="P581" s="8"/>
      <c r="Q581" s="8"/>
      <c r="R581" s="15"/>
    </row>
    <row r="582" ht="13.5" customHeight="1">
      <c r="B582" s="8"/>
      <c r="C582" s="8"/>
      <c r="G582" s="8"/>
      <c r="H582" s="8"/>
      <c r="I582" s="15"/>
      <c r="K582" s="20"/>
      <c r="L582" s="15"/>
      <c r="M582" s="17"/>
      <c r="N582" s="18"/>
      <c r="O582" s="19"/>
      <c r="P582" s="8"/>
      <c r="Q582" s="8"/>
      <c r="R582" s="15"/>
    </row>
    <row r="583" ht="13.5" customHeight="1">
      <c r="B583" s="8"/>
      <c r="C583" s="8"/>
      <c r="G583" s="8"/>
      <c r="H583" s="8"/>
      <c r="I583" s="15"/>
      <c r="K583" s="20"/>
      <c r="L583" s="15"/>
      <c r="M583" s="17"/>
      <c r="N583" s="18"/>
      <c r="O583" s="19"/>
      <c r="P583" s="8"/>
      <c r="Q583" s="8"/>
      <c r="R583" s="15"/>
    </row>
    <row r="584" ht="13.5" customHeight="1">
      <c r="B584" s="8"/>
      <c r="C584" s="8"/>
      <c r="G584" s="8"/>
      <c r="H584" s="8"/>
      <c r="I584" s="15"/>
      <c r="K584" s="20"/>
      <c r="L584" s="15"/>
      <c r="M584" s="17"/>
      <c r="N584" s="18"/>
      <c r="O584" s="19"/>
      <c r="P584" s="8"/>
      <c r="Q584" s="8"/>
      <c r="R584" s="15"/>
    </row>
    <row r="585" ht="13.5" customHeight="1">
      <c r="B585" s="8"/>
      <c r="C585" s="8"/>
      <c r="G585" s="8"/>
      <c r="H585" s="8"/>
      <c r="I585" s="15"/>
      <c r="K585" s="20"/>
      <c r="L585" s="15"/>
      <c r="M585" s="17"/>
      <c r="N585" s="18"/>
      <c r="O585" s="19"/>
      <c r="P585" s="8"/>
      <c r="Q585" s="8"/>
      <c r="R585" s="15"/>
    </row>
    <row r="586" ht="13.5" customHeight="1">
      <c r="B586" s="8"/>
      <c r="C586" s="8"/>
      <c r="G586" s="8"/>
      <c r="H586" s="8"/>
      <c r="I586" s="15"/>
      <c r="K586" s="20"/>
      <c r="L586" s="15"/>
      <c r="M586" s="17"/>
      <c r="N586" s="18"/>
      <c r="O586" s="19"/>
      <c r="P586" s="8"/>
      <c r="Q586" s="8"/>
      <c r="R586" s="15"/>
    </row>
    <row r="587" ht="13.5" customHeight="1">
      <c r="B587" s="8"/>
      <c r="C587" s="8"/>
      <c r="G587" s="8"/>
      <c r="H587" s="8"/>
      <c r="I587" s="15"/>
      <c r="K587" s="20"/>
      <c r="L587" s="15"/>
      <c r="M587" s="17"/>
      <c r="N587" s="18"/>
      <c r="O587" s="19"/>
      <c r="P587" s="8"/>
      <c r="Q587" s="8"/>
      <c r="R587" s="15"/>
    </row>
    <row r="588" ht="13.5" customHeight="1">
      <c r="B588" s="8"/>
      <c r="C588" s="8"/>
      <c r="G588" s="8"/>
      <c r="H588" s="8"/>
      <c r="I588" s="15"/>
      <c r="K588" s="20"/>
      <c r="L588" s="15"/>
      <c r="M588" s="17"/>
      <c r="N588" s="18"/>
      <c r="O588" s="19"/>
      <c r="P588" s="8"/>
      <c r="Q588" s="8"/>
      <c r="R588" s="15"/>
    </row>
    <row r="589" ht="13.5" customHeight="1">
      <c r="B589" s="8"/>
      <c r="C589" s="8"/>
      <c r="G589" s="8"/>
      <c r="H589" s="8"/>
      <c r="I589" s="15"/>
      <c r="K589" s="20"/>
      <c r="L589" s="15"/>
      <c r="M589" s="17"/>
      <c r="N589" s="18"/>
      <c r="O589" s="19"/>
      <c r="P589" s="8"/>
      <c r="Q589" s="8"/>
      <c r="R589" s="15"/>
    </row>
    <row r="590" ht="13.5" customHeight="1">
      <c r="B590" s="8"/>
      <c r="C590" s="8"/>
      <c r="G590" s="8"/>
      <c r="H590" s="8"/>
      <c r="I590" s="15"/>
      <c r="K590" s="20"/>
      <c r="L590" s="15"/>
      <c r="M590" s="17"/>
      <c r="N590" s="18"/>
      <c r="O590" s="19"/>
      <c r="P590" s="8"/>
      <c r="Q590" s="8"/>
      <c r="R590" s="15"/>
    </row>
    <row r="591" ht="13.5" customHeight="1">
      <c r="B591" s="8"/>
      <c r="C591" s="8"/>
      <c r="G591" s="8"/>
      <c r="H591" s="8"/>
      <c r="I591" s="15"/>
      <c r="K591" s="20"/>
      <c r="L591" s="15"/>
      <c r="M591" s="17"/>
      <c r="N591" s="18"/>
      <c r="O591" s="19"/>
      <c r="P591" s="8"/>
      <c r="Q591" s="8"/>
      <c r="R591" s="15"/>
    </row>
    <row r="592" ht="13.5" customHeight="1">
      <c r="B592" s="8"/>
      <c r="C592" s="8"/>
      <c r="G592" s="8"/>
      <c r="H592" s="8"/>
      <c r="I592" s="15"/>
      <c r="K592" s="20"/>
      <c r="L592" s="15"/>
      <c r="M592" s="17"/>
      <c r="N592" s="18"/>
      <c r="O592" s="19"/>
      <c r="P592" s="8"/>
      <c r="Q592" s="8"/>
      <c r="R592" s="15"/>
    </row>
    <row r="593" ht="13.5" customHeight="1">
      <c r="B593" s="8"/>
      <c r="C593" s="8"/>
      <c r="G593" s="8"/>
      <c r="H593" s="8"/>
      <c r="I593" s="15"/>
      <c r="K593" s="20"/>
      <c r="L593" s="15"/>
      <c r="M593" s="17"/>
      <c r="N593" s="18"/>
      <c r="O593" s="19"/>
      <c r="P593" s="8"/>
      <c r="Q593" s="8"/>
      <c r="R593" s="15"/>
    </row>
    <row r="594" ht="13.5" customHeight="1">
      <c r="B594" s="8"/>
      <c r="C594" s="8"/>
      <c r="G594" s="8"/>
      <c r="H594" s="8"/>
      <c r="I594" s="15"/>
      <c r="K594" s="20"/>
      <c r="L594" s="15"/>
      <c r="M594" s="17"/>
      <c r="N594" s="18"/>
      <c r="O594" s="19"/>
      <c r="P594" s="8"/>
      <c r="Q594" s="8"/>
      <c r="R594" s="15"/>
    </row>
    <row r="595" ht="13.5" customHeight="1">
      <c r="B595" s="8"/>
      <c r="C595" s="8"/>
      <c r="G595" s="8"/>
      <c r="H595" s="8"/>
      <c r="I595" s="15"/>
      <c r="K595" s="20"/>
      <c r="L595" s="15"/>
      <c r="M595" s="17"/>
      <c r="N595" s="18"/>
      <c r="O595" s="19"/>
      <c r="P595" s="8"/>
      <c r="Q595" s="8"/>
      <c r="R595" s="15"/>
    </row>
    <row r="596" ht="13.5" customHeight="1">
      <c r="B596" s="8"/>
      <c r="C596" s="8"/>
      <c r="G596" s="8"/>
      <c r="H596" s="8"/>
      <c r="I596" s="15"/>
      <c r="K596" s="20"/>
      <c r="L596" s="15"/>
      <c r="M596" s="17"/>
      <c r="N596" s="18"/>
      <c r="O596" s="19"/>
      <c r="P596" s="8"/>
      <c r="Q596" s="8"/>
      <c r="R596" s="15"/>
    </row>
    <row r="597" ht="13.5" customHeight="1">
      <c r="B597" s="8"/>
      <c r="C597" s="8"/>
      <c r="G597" s="8"/>
      <c r="H597" s="8"/>
      <c r="I597" s="15"/>
      <c r="K597" s="20"/>
      <c r="L597" s="15"/>
      <c r="M597" s="17"/>
      <c r="N597" s="18"/>
      <c r="O597" s="19"/>
      <c r="P597" s="8"/>
      <c r="Q597" s="8"/>
      <c r="R597" s="15"/>
    </row>
    <row r="598" ht="13.5" customHeight="1">
      <c r="B598" s="8"/>
      <c r="C598" s="8"/>
      <c r="G598" s="8"/>
      <c r="H598" s="8"/>
      <c r="I598" s="15"/>
      <c r="K598" s="20"/>
      <c r="L598" s="15"/>
      <c r="M598" s="17"/>
      <c r="N598" s="18"/>
      <c r="O598" s="19"/>
      <c r="P598" s="8"/>
      <c r="Q598" s="8"/>
      <c r="R598" s="15"/>
    </row>
    <row r="599" ht="13.5" customHeight="1">
      <c r="B599" s="8"/>
      <c r="C599" s="8"/>
      <c r="G599" s="8"/>
      <c r="H599" s="8"/>
      <c r="I599" s="15"/>
      <c r="K599" s="20"/>
      <c r="L599" s="15"/>
      <c r="M599" s="17"/>
      <c r="N599" s="18"/>
      <c r="O599" s="19"/>
      <c r="P599" s="8"/>
      <c r="Q599" s="8"/>
      <c r="R599" s="15"/>
    </row>
    <row r="600" ht="13.5" customHeight="1">
      <c r="B600" s="8"/>
      <c r="C600" s="8"/>
      <c r="G600" s="8"/>
      <c r="H600" s="8"/>
      <c r="I600" s="15"/>
      <c r="K600" s="20"/>
      <c r="L600" s="15"/>
      <c r="M600" s="17"/>
      <c r="N600" s="18"/>
      <c r="O600" s="19"/>
      <c r="P600" s="8"/>
      <c r="Q600" s="8"/>
      <c r="R600" s="15"/>
    </row>
    <row r="601" ht="13.5" customHeight="1">
      <c r="B601" s="8"/>
      <c r="C601" s="8"/>
      <c r="G601" s="8"/>
      <c r="H601" s="8"/>
      <c r="I601" s="15"/>
      <c r="K601" s="20"/>
      <c r="L601" s="15"/>
      <c r="M601" s="17"/>
      <c r="N601" s="18"/>
      <c r="O601" s="19"/>
      <c r="P601" s="8"/>
      <c r="Q601" s="8"/>
      <c r="R601" s="15"/>
    </row>
    <row r="602" ht="13.5" customHeight="1">
      <c r="B602" s="8"/>
      <c r="C602" s="8"/>
      <c r="G602" s="8"/>
      <c r="H602" s="8"/>
      <c r="I602" s="15"/>
      <c r="K602" s="20"/>
      <c r="L602" s="15"/>
      <c r="M602" s="17"/>
      <c r="N602" s="18"/>
      <c r="O602" s="19"/>
      <c r="P602" s="8"/>
      <c r="Q602" s="8"/>
      <c r="R602" s="15"/>
    </row>
    <row r="603" ht="13.5" customHeight="1">
      <c r="B603" s="8"/>
      <c r="C603" s="8"/>
      <c r="G603" s="8"/>
      <c r="H603" s="8"/>
      <c r="I603" s="15"/>
      <c r="K603" s="20"/>
      <c r="L603" s="15"/>
      <c r="M603" s="17"/>
      <c r="N603" s="18"/>
      <c r="O603" s="19"/>
      <c r="P603" s="8"/>
      <c r="Q603" s="8"/>
      <c r="R603" s="15"/>
    </row>
    <row r="604" ht="13.5" customHeight="1">
      <c r="B604" s="8"/>
      <c r="C604" s="8"/>
      <c r="G604" s="8"/>
      <c r="H604" s="8"/>
      <c r="I604" s="15"/>
      <c r="K604" s="20"/>
      <c r="L604" s="15"/>
      <c r="M604" s="17"/>
      <c r="N604" s="18"/>
      <c r="O604" s="19"/>
      <c r="P604" s="8"/>
      <c r="Q604" s="8"/>
      <c r="R604" s="15"/>
    </row>
    <row r="605" ht="13.5" customHeight="1">
      <c r="B605" s="8"/>
      <c r="C605" s="8"/>
      <c r="G605" s="8"/>
      <c r="H605" s="8"/>
      <c r="I605" s="15"/>
      <c r="K605" s="20"/>
      <c r="L605" s="15"/>
      <c r="M605" s="17"/>
      <c r="N605" s="18"/>
      <c r="O605" s="19"/>
      <c r="P605" s="8"/>
      <c r="Q605" s="8"/>
      <c r="R605" s="15"/>
    </row>
    <row r="606" ht="13.5" customHeight="1">
      <c r="B606" s="8"/>
      <c r="C606" s="8"/>
      <c r="G606" s="8"/>
      <c r="H606" s="8"/>
      <c r="I606" s="15"/>
      <c r="K606" s="20"/>
      <c r="L606" s="15"/>
      <c r="M606" s="17"/>
      <c r="N606" s="18"/>
      <c r="O606" s="19"/>
      <c r="P606" s="8"/>
      <c r="Q606" s="8"/>
      <c r="R606" s="15"/>
    </row>
    <row r="607" ht="13.5" customHeight="1">
      <c r="B607" s="8"/>
      <c r="C607" s="8"/>
      <c r="G607" s="8"/>
      <c r="H607" s="8"/>
      <c r="I607" s="15"/>
      <c r="K607" s="20"/>
      <c r="L607" s="15"/>
      <c r="M607" s="17"/>
      <c r="N607" s="18"/>
      <c r="O607" s="19"/>
      <c r="P607" s="8"/>
      <c r="Q607" s="8"/>
      <c r="R607" s="15"/>
    </row>
    <row r="608" ht="13.5" customHeight="1">
      <c r="B608" s="8"/>
      <c r="C608" s="8"/>
      <c r="G608" s="8"/>
      <c r="H608" s="8"/>
      <c r="I608" s="15"/>
      <c r="K608" s="20"/>
      <c r="L608" s="15"/>
      <c r="M608" s="17"/>
      <c r="N608" s="18"/>
      <c r="O608" s="19"/>
      <c r="P608" s="8"/>
      <c r="Q608" s="8"/>
      <c r="R608" s="15"/>
    </row>
    <row r="609" ht="13.5" customHeight="1">
      <c r="B609" s="8"/>
      <c r="C609" s="8"/>
      <c r="G609" s="8"/>
      <c r="H609" s="8"/>
      <c r="I609" s="15"/>
      <c r="K609" s="20"/>
      <c r="L609" s="15"/>
      <c r="M609" s="17"/>
      <c r="N609" s="18"/>
      <c r="O609" s="19"/>
      <c r="P609" s="8"/>
      <c r="Q609" s="8"/>
      <c r="R609" s="15"/>
    </row>
    <row r="610" ht="13.5" customHeight="1">
      <c r="B610" s="8"/>
      <c r="C610" s="8"/>
      <c r="G610" s="8"/>
      <c r="H610" s="8"/>
      <c r="I610" s="15"/>
      <c r="K610" s="20"/>
      <c r="L610" s="15"/>
      <c r="M610" s="17"/>
      <c r="N610" s="18"/>
      <c r="O610" s="19"/>
      <c r="P610" s="8"/>
      <c r="Q610" s="8"/>
      <c r="R610" s="15"/>
    </row>
    <row r="611" ht="13.5" customHeight="1">
      <c r="B611" s="8"/>
      <c r="C611" s="8"/>
      <c r="G611" s="8"/>
      <c r="H611" s="8"/>
      <c r="I611" s="15"/>
      <c r="K611" s="20"/>
      <c r="L611" s="15"/>
      <c r="M611" s="17"/>
      <c r="N611" s="18"/>
      <c r="O611" s="19"/>
      <c r="P611" s="8"/>
      <c r="Q611" s="8"/>
      <c r="R611" s="15"/>
    </row>
    <row r="612" ht="13.5" customHeight="1">
      <c r="B612" s="8"/>
      <c r="C612" s="8"/>
      <c r="G612" s="8"/>
      <c r="H612" s="8"/>
      <c r="I612" s="15"/>
      <c r="K612" s="20"/>
      <c r="L612" s="15"/>
      <c r="M612" s="17"/>
      <c r="N612" s="18"/>
      <c r="O612" s="19"/>
      <c r="P612" s="8"/>
      <c r="Q612" s="8"/>
      <c r="R612" s="15"/>
    </row>
    <row r="613" ht="13.5" customHeight="1">
      <c r="B613" s="8"/>
      <c r="C613" s="8"/>
      <c r="G613" s="8"/>
      <c r="H613" s="8"/>
      <c r="I613" s="15"/>
      <c r="K613" s="20"/>
      <c r="L613" s="15"/>
      <c r="M613" s="17"/>
      <c r="N613" s="18"/>
      <c r="O613" s="19"/>
      <c r="P613" s="8"/>
      <c r="Q613" s="8"/>
      <c r="R613" s="15"/>
    </row>
    <row r="614" ht="13.5" customHeight="1">
      <c r="B614" s="8"/>
      <c r="C614" s="8"/>
      <c r="G614" s="8"/>
      <c r="H614" s="8"/>
      <c r="I614" s="15"/>
      <c r="K614" s="20"/>
      <c r="L614" s="15"/>
      <c r="M614" s="17"/>
      <c r="N614" s="18"/>
      <c r="O614" s="19"/>
      <c r="P614" s="8"/>
      <c r="Q614" s="8"/>
      <c r="R614" s="15"/>
    </row>
    <row r="615" ht="13.5" customHeight="1">
      <c r="B615" s="8"/>
      <c r="C615" s="8"/>
      <c r="G615" s="8"/>
      <c r="H615" s="8"/>
      <c r="I615" s="15"/>
      <c r="K615" s="20"/>
      <c r="L615" s="15"/>
      <c r="M615" s="17"/>
      <c r="N615" s="18"/>
      <c r="O615" s="19"/>
      <c r="P615" s="8"/>
      <c r="Q615" s="8"/>
      <c r="R615" s="15"/>
    </row>
    <row r="616" ht="13.5" customHeight="1">
      <c r="B616" s="8"/>
      <c r="C616" s="8"/>
      <c r="G616" s="8"/>
      <c r="H616" s="8"/>
      <c r="I616" s="15"/>
      <c r="K616" s="20"/>
      <c r="L616" s="15"/>
      <c r="M616" s="17"/>
      <c r="N616" s="18"/>
      <c r="O616" s="19"/>
      <c r="P616" s="8"/>
      <c r="Q616" s="8"/>
      <c r="R616" s="15"/>
    </row>
    <row r="617" ht="13.5" customHeight="1">
      <c r="B617" s="8"/>
      <c r="C617" s="8"/>
      <c r="G617" s="8"/>
      <c r="H617" s="8"/>
      <c r="I617" s="15"/>
      <c r="K617" s="20"/>
      <c r="L617" s="15"/>
      <c r="M617" s="17"/>
      <c r="N617" s="18"/>
      <c r="O617" s="19"/>
      <c r="P617" s="8"/>
      <c r="Q617" s="8"/>
      <c r="R617" s="15"/>
    </row>
    <row r="618" ht="13.5" customHeight="1">
      <c r="B618" s="8"/>
      <c r="C618" s="8"/>
      <c r="G618" s="8"/>
      <c r="H618" s="8"/>
      <c r="I618" s="15"/>
      <c r="K618" s="20"/>
      <c r="L618" s="15"/>
      <c r="M618" s="17"/>
      <c r="N618" s="18"/>
      <c r="O618" s="19"/>
      <c r="P618" s="8"/>
      <c r="Q618" s="8"/>
      <c r="R618" s="15"/>
    </row>
    <row r="619" ht="13.5" customHeight="1">
      <c r="B619" s="8"/>
      <c r="C619" s="8"/>
      <c r="G619" s="8"/>
      <c r="H619" s="8"/>
      <c r="I619" s="15"/>
      <c r="K619" s="20"/>
      <c r="L619" s="15"/>
      <c r="M619" s="17"/>
      <c r="N619" s="18"/>
      <c r="O619" s="19"/>
      <c r="P619" s="8"/>
      <c r="Q619" s="8"/>
      <c r="R619" s="15"/>
    </row>
    <row r="620" ht="13.5" customHeight="1">
      <c r="B620" s="8"/>
      <c r="C620" s="8"/>
      <c r="G620" s="8"/>
      <c r="H620" s="8"/>
      <c r="I620" s="15"/>
      <c r="K620" s="20"/>
      <c r="L620" s="15"/>
      <c r="M620" s="17"/>
      <c r="N620" s="18"/>
      <c r="O620" s="19"/>
      <c r="P620" s="8"/>
      <c r="Q620" s="8"/>
      <c r="R620" s="15"/>
    </row>
    <row r="621" ht="13.5" customHeight="1">
      <c r="B621" s="8"/>
      <c r="C621" s="8"/>
      <c r="G621" s="8"/>
      <c r="H621" s="8"/>
      <c r="I621" s="15"/>
      <c r="K621" s="20"/>
      <c r="L621" s="15"/>
      <c r="M621" s="17"/>
      <c r="N621" s="18"/>
      <c r="O621" s="19"/>
      <c r="P621" s="8"/>
      <c r="Q621" s="8"/>
      <c r="R621" s="15"/>
    </row>
    <row r="622" ht="13.5" customHeight="1">
      <c r="B622" s="8"/>
      <c r="C622" s="8"/>
      <c r="G622" s="8"/>
      <c r="H622" s="8"/>
      <c r="I622" s="15"/>
      <c r="K622" s="20"/>
      <c r="L622" s="15"/>
      <c r="M622" s="17"/>
      <c r="N622" s="18"/>
      <c r="O622" s="19"/>
      <c r="P622" s="8"/>
      <c r="Q622" s="8"/>
      <c r="R622" s="15"/>
    </row>
    <row r="623" ht="13.5" customHeight="1">
      <c r="B623" s="8"/>
      <c r="C623" s="8"/>
      <c r="G623" s="8"/>
      <c r="H623" s="8"/>
      <c r="I623" s="15"/>
      <c r="K623" s="20"/>
      <c r="L623" s="15"/>
      <c r="M623" s="17"/>
      <c r="N623" s="18"/>
      <c r="O623" s="19"/>
      <c r="P623" s="8"/>
      <c r="Q623" s="8"/>
      <c r="R623" s="15"/>
    </row>
    <row r="624" ht="13.5" customHeight="1">
      <c r="B624" s="8"/>
      <c r="C624" s="8"/>
      <c r="G624" s="8"/>
      <c r="H624" s="8"/>
      <c r="I624" s="15"/>
      <c r="K624" s="20"/>
      <c r="L624" s="15"/>
      <c r="M624" s="17"/>
      <c r="N624" s="18"/>
      <c r="O624" s="19"/>
      <c r="P624" s="8"/>
      <c r="Q624" s="8"/>
      <c r="R624" s="15"/>
    </row>
    <row r="625" ht="13.5" customHeight="1">
      <c r="B625" s="8"/>
      <c r="C625" s="8"/>
      <c r="G625" s="8"/>
      <c r="H625" s="8"/>
      <c r="I625" s="15"/>
      <c r="K625" s="20"/>
      <c r="L625" s="15"/>
      <c r="M625" s="17"/>
      <c r="N625" s="18"/>
      <c r="O625" s="19"/>
      <c r="P625" s="8"/>
      <c r="Q625" s="8"/>
      <c r="R625" s="15"/>
    </row>
    <row r="626" ht="13.5" customHeight="1">
      <c r="B626" s="8"/>
      <c r="C626" s="8"/>
      <c r="G626" s="8"/>
      <c r="H626" s="8"/>
      <c r="I626" s="15"/>
      <c r="K626" s="20"/>
      <c r="L626" s="15"/>
      <c r="M626" s="17"/>
      <c r="N626" s="18"/>
      <c r="O626" s="19"/>
      <c r="P626" s="8"/>
      <c r="Q626" s="8"/>
      <c r="R626" s="15"/>
    </row>
    <row r="627" ht="13.5" customHeight="1">
      <c r="B627" s="8"/>
      <c r="C627" s="8"/>
      <c r="G627" s="8"/>
      <c r="H627" s="8"/>
      <c r="I627" s="15"/>
      <c r="K627" s="20"/>
      <c r="L627" s="15"/>
      <c r="M627" s="17"/>
      <c r="N627" s="18"/>
      <c r="O627" s="19"/>
      <c r="P627" s="8"/>
      <c r="Q627" s="8"/>
      <c r="R627" s="15"/>
    </row>
    <row r="628" ht="13.5" customHeight="1">
      <c r="B628" s="8"/>
      <c r="C628" s="8"/>
      <c r="G628" s="8"/>
      <c r="H628" s="8"/>
      <c r="I628" s="15"/>
      <c r="K628" s="20"/>
      <c r="L628" s="15"/>
      <c r="M628" s="17"/>
      <c r="N628" s="18"/>
      <c r="O628" s="19"/>
      <c r="P628" s="8"/>
      <c r="Q628" s="8"/>
      <c r="R628" s="15"/>
    </row>
    <row r="629" ht="13.5" customHeight="1">
      <c r="B629" s="8"/>
      <c r="C629" s="8"/>
      <c r="G629" s="8"/>
      <c r="H629" s="8"/>
      <c r="I629" s="15"/>
      <c r="K629" s="20"/>
      <c r="L629" s="15"/>
      <c r="M629" s="17"/>
      <c r="N629" s="18"/>
      <c r="O629" s="19"/>
      <c r="P629" s="8"/>
      <c r="Q629" s="8"/>
      <c r="R629" s="15"/>
    </row>
    <row r="630" ht="13.5" customHeight="1">
      <c r="B630" s="8"/>
      <c r="C630" s="8"/>
      <c r="G630" s="8"/>
      <c r="H630" s="8"/>
      <c r="I630" s="15"/>
      <c r="K630" s="20"/>
      <c r="L630" s="15"/>
      <c r="M630" s="17"/>
      <c r="N630" s="18"/>
      <c r="O630" s="19"/>
      <c r="P630" s="8"/>
      <c r="Q630" s="8"/>
      <c r="R630" s="15"/>
    </row>
    <row r="631" ht="13.5" customHeight="1">
      <c r="B631" s="8"/>
      <c r="C631" s="8"/>
      <c r="G631" s="8"/>
      <c r="H631" s="8"/>
      <c r="I631" s="15"/>
      <c r="K631" s="20"/>
      <c r="L631" s="15"/>
      <c r="M631" s="17"/>
      <c r="N631" s="18"/>
      <c r="O631" s="19"/>
      <c r="P631" s="8"/>
      <c r="Q631" s="8"/>
      <c r="R631" s="15"/>
    </row>
    <row r="632" ht="13.5" customHeight="1">
      <c r="B632" s="8"/>
      <c r="C632" s="8"/>
      <c r="G632" s="8"/>
      <c r="H632" s="8"/>
      <c r="I632" s="15"/>
      <c r="K632" s="20"/>
      <c r="L632" s="15"/>
      <c r="M632" s="17"/>
      <c r="N632" s="18"/>
      <c r="O632" s="19"/>
      <c r="P632" s="8"/>
      <c r="Q632" s="8"/>
      <c r="R632" s="15"/>
    </row>
    <row r="633" ht="13.5" customHeight="1">
      <c r="B633" s="8"/>
      <c r="C633" s="8"/>
      <c r="G633" s="8"/>
      <c r="H633" s="8"/>
      <c r="I633" s="15"/>
      <c r="K633" s="20"/>
      <c r="L633" s="15"/>
      <c r="M633" s="17"/>
      <c r="N633" s="18"/>
      <c r="O633" s="19"/>
      <c r="P633" s="8"/>
      <c r="Q633" s="8"/>
      <c r="R633" s="15"/>
    </row>
    <row r="634" ht="13.5" customHeight="1">
      <c r="B634" s="8"/>
      <c r="C634" s="8"/>
      <c r="G634" s="8"/>
      <c r="H634" s="8"/>
      <c r="I634" s="15"/>
      <c r="K634" s="20"/>
      <c r="L634" s="15"/>
      <c r="M634" s="17"/>
      <c r="N634" s="18"/>
      <c r="O634" s="19"/>
      <c r="P634" s="8"/>
      <c r="Q634" s="8"/>
      <c r="R634" s="15"/>
    </row>
    <row r="635" ht="13.5" customHeight="1">
      <c r="B635" s="8"/>
      <c r="C635" s="8"/>
      <c r="G635" s="8"/>
      <c r="H635" s="8"/>
      <c r="I635" s="15"/>
      <c r="K635" s="20"/>
      <c r="L635" s="15"/>
      <c r="M635" s="17"/>
      <c r="N635" s="18"/>
      <c r="O635" s="19"/>
      <c r="P635" s="8"/>
      <c r="Q635" s="8"/>
      <c r="R635" s="15"/>
    </row>
    <row r="636" ht="13.5" customHeight="1">
      <c r="B636" s="8"/>
      <c r="C636" s="8"/>
      <c r="G636" s="8"/>
      <c r="H636" s="8"/>
      <c r="I636" s="15"/>
      <c r="K636" s="20"/>
      <c r="L636" s="15"/>
      <c r="M636" s="17"/>
      <c r="N636" s="18"/>
      <c r="O636" s="19"/>
      <c r="P636" s="8"/>
      <c r="Q636" s="8"/>
      <c r="R636" s="15"/>
    </row>
    <row r="637" ht="13.5" customHeight="1">
      <c r="B637" s="8"/>
      <c r="C637" s="8"/>
      <c r="G637" s="8"/>
      <c r="H637" s="8"/>
      <c r="I637" s="15"/>
      <c r="K637" s="20"/>
      <c r="L637" s="15"/>
      <c r="M637" s="17"/>
      <c r="N637" s="18"/>
      <c r="O637" s="19"/>
      <c r="P637" s="8"/>
      <c r="Q637" s="8"/>
      <c r="R637" s="15"/>
    </row>
    <row r="638" ht="13.5" customHeight="1">
      <c r="B638" s="8"/>
      <c r="C638" s="8"/>
      <c r="G638" s="8"/>
      <c r="H638" s="8"/>
      <c r="I638" s="15"/>
      <c r="K638" s="20"/>
      <c r="L638" s="15"/>
      <c r="M638" s="17"/>
      <c r="N638" s="18"/>
      <c r="O638" s="19"/>
      <c r="P638" s="8"/>
      <c r="Q638" s="8"/>
      <c r="R638" s="15"/>
    </row>
    <row r="639" ht="13.5" customHeight="1">
      <c r="B639" s="8"/>
      <c r="C639" s="8"/>
      <c r="G639" s="8"/>
      <c r="H639" s="8"/>
      <c r="I639" s="15"/>
      <c r="K639" s="20"/>
      <c r="L639" s="15"/>
      <c r="M639" s="17"/>
      <c r="N639" s="18"/>
      <c r="O639" s="19"/>
      <c r="P639" s="8"/>
      <c r="Q639" s="8"/>
      <c r="R639" s="15"/>
    </row>
    <row r="640" ht="13.5" customHeight="1">
      <c r="B640" s="8"/>
      <c r="C640" s="8"/>
      <c r="G640" s="8"/>
      <c r="H640" s="8"/>
      <c r="I640" s="15"/>
      <c r="K640" s="20"/>
      <c r="L640" s="15"/>
      <c r="M640" s="17"/>
      <c r="N640" s="18"/>
      <c r="O640" s="19"/>
      <c r="P640" s="8"/>
      <c r="Q640" s="8"/>
      <c r="R640" s="15"/>
    </row>
    <row r="641" ht="13.5" customHeight="1">
      <c r="B641" s="8"/>
      <c r="C641" s="8"/>
      <c r="G641" s="8"/>
      <c r="H641" s="8"/>
      <c r="I641" s="15"/>
      <c r="K641" s="20"/>
      <c r="L641" s="15"/>
      <c r="M641" s="17"/>
      <c r="N641" s="18"/>
      <c r="O641" s="19"/>
      <c r="P641" s="8"/>
      <c r="Q641" s="8"/>
      <c r="R641" s="15"/>
    </row>
    <row r="642" ht="13.5" customHeight="1">
      <c r="B642" s="8"/>
      <c r="C642" s="8"/>
      <c r="G642" s="8"/>
      <c r="H642" s="8"/>
      <c r="I642" s="15"/>
      <c r="K642" s="20"/>
      <c r="L642" s="15"/>
      <c r="M642" s="17"/>
      <c r="N642" s="18"/>
      <c r="O642" s="19"/>
      <c r="P642" s="8"/>
      <c r="Q642" s="8"/>
      <c r="R642" s="15"/>
    </row>
    <row r="643" ht="13.5" customHeight="1">
      <c r="B643" s="8"/>
      <c r="C643" s="8"/>
      <c r="G643" s="8"/>
      <c r="H643" s="8"/>
      <c r="I643" s="15"/>
      <c r="K643" s="20"/>
      <c r="L643" s="15"/>
      <c r="M643" s="17"/>
      <c r="N643" s="18"/>
      <c r="O643" s="19"/>
      <c r="P643" s="8"/>
      <c r="Q643" s="8"/>
      <c r="R643" s="15"/>
    </row>
    <row r="644" ht="13.5" customHeight="1">
      <c r="B644" s="8"/>
      <c r="C644" s="8"/>
      <c r="G644" s="8"/>
      <c r="H644" s="8"/>
      <c r="I644" s="15"/>
      <c r="K644" s="20"/>
      <c r="L644" s="15"/>
      <c r="M644" s="17"/>
      <c r="N644" s="18"/>
      <c r="O644" s="19"/>
      <c r="P644" s="8"/>
      <c r="Q644" s="8"/>
      <c r="R644" s="15"/>
    </row>
    <row r="645" ht="13.5" customHeight="1">
      <c r="B645" s="8"/>
      <c r="C645" s="8"/>
      <c r="G645" s="8"/>
      <c r="H645" s="8"/>
      <c r="I645" s="15"/>
      <c r="K645" s="20"/>
      <c r="L645" s="15"/>
      <c r="M645" s="17"/>
      <c r="N645" s="18"/>
      <c r="O645" s="19"/>
      <c r="P645" s="8"/>
      <c r="Q645" s="8"/>
      <c r="R645" s="15"/>
    </row>
    <row r="646" ht="13.5" customHeight="1">
      <c r="B646" s="8"/>
      <c r="C646" s="8"/>
      <c r="G646" s="8"/>
      <c r="H646" s="8"/>
      <c r="I646" s="15"/>
      <c r="K646" s="20"/>
      <c r="L646" s="15"/>
      <c r="M646" s="17"/>
      <c r="N646" s="18"/>
      <c r="O646" s="19"/>
      <c r="P646" s="8"/>
      <c r="Q646" s="8"/>
      <c r="R646" s="15"/>
    </row>
    <row r="647" ht="13.5" customHeight="1">
      <c r="B647" s="8"/>
      <c r="C647" s="8"/>
      <c r="G647" s="8"/>
      <c r="H647" s="8"/>
      <c r="I647" s="15"/>
      <c r="K647" s="20"/>
      <c r="L647" s="15"/>
      <c r="M647" s="17"/>
      <c r="N647" s="18"/>
      <c r="O647" s="19"/>
      <c r="P647" s="8"/>
      <c r="Q647" s="8"/>
      <c r="R647" s="15"/>
    </row>
    <row r="648" ht="13.5" customHeight="1">
      <c r="B648" s="8"/>
      <c r="C648" s="8"/>
      <c r="G648" s="8"/>
      <c r="H648" s="8"/>
      <c r="I648" s="15"/>
      <c r="K648" s="20"/>
      <c r="L648" s="15"/>
      <c r="M648" s="17"/>
      <c r="N648" s="18"/>
      <c r="O648" s="19"/>
      <c r="P648" s="8"/>
      <c r="Q648" s="8"/>
      <c r="R648" s="15"/>
    </row>
    <row r="649" ht="13.5" customHeight="1">
      <c r="B649" s="8"/>
      <c r="C649" s="8"/>
      <c r="G649" s="8"/>
      <c r="H649" s="8"/>
      <c r="I649" s="15"/>
      <c r="K649" s="20"/>
      <c r="L649" s="15"/>
      <c r="M649" s="17"/>
      <c r="N649" s="18"/>
      <c r="O649" s="19"/>
      <c r="P649" s="8"/>
      <c r="Q649" s="8"/>
      <c r="R649" s="15"/>
    </row>
    <row r="650" ht="13.5" customHeight="1">
      <c r="B650" s="8"/>
      <c r="C650" s="8"/>
      <c r="G650" s="8"/>
      <c r="H650" s="8"/>
      <c r="I650" s="15"/>
      <c r="K650" s="20"/>
      <c r="L650" s="15"/>
      <c r="M650" s="17"/>
      <c r="N650" s="18"/>
      <c r="O650" s="19"/>
      <c r="P650" s="8"/>
      <c r="Q650" s="8"/>
      <c r="R650" s="15"/>
    </row>
    <row r="651" ht="13.5" customHeight="1">
      <c r="B651" s="8"/>
      <c r="C651" s="8"/>
      <c r="G651" s="8"/>
      <c r="H651" s="8"/>
      <c r="I651" s="15"/>
      <c r="K651" s="20"/>
      <c r="L651" s="15"/>
      <c r="M651" s="17"/>
      <c r="N651" s="18"/>
      <c r="O651" s="19"/>
      <c r="P651" s="8"/>
      <c r="Q651" s="8"/>
      <c r="R651" s="15"/>
    </row>
    <row r="652" ht="13.5" customHeight="1">
      <c r="B652" s="8"/>
      <c r="C652" s="8"/>
      <c r="G652" s="8"/>
      <c r="H652" s="8"/>
      <c r="I652" s="15"/>
      <c r="K652" s="20"/>
      <c r="L652" s="15"/>
      <c r="M652" s="17"/>
      <c r="N652" s="18"/>
      <c r="O652" s="19"/>
      <c r="P652" s="8"/>
      <c r="Q652" s="8"/>
      <c r="R652" s="15"/>
    </row>
    <row r="653" ht="13.5" customHeight="1">
      <c r="B653" s="8"/>
      <c r="C653" s="8"/>
      <c r="G653" s="8"/>
      <c r="H653" s="8"/>
      <c r="I653" s="15"/>
      <c r="K653" s="20"/>
      <c r="L653" s="15"/>
      <c r="M653" s="17"/>
      <c r="N653" s="18"/>
      <c r="O653" s="19"/>
      <c r="P653" s="8"/>
      <c r="Q653" s="8"/>
      <c r="R653" s="15"/>
    </row>
    <row r="654" ht="13.5" customHeight="1">
      <c r="B654" s="8"/>
      <c r="C654" s="8"/>
      <c r="G654" s="8"/>
      <c r="H654" s="8"/>
      <c r="I654" s="15"/>
      <c r="K654" s="20"/>
      <c r="L654" s="15"/>
      <c r="M654" s="17"/>
      <c r="N654" s="18"/>
      <c r="O654" s="19"/>
      <c r="P654" s="8"/>
      <c r="Q654" s="8"/>
      <c r="R654" s="15"/>
    </row>
    <row r="655" ht="13.5" customHeight="1">
      <c r="B655" s="8"/>
      <c r="C655" s="8"/>
      <c r="G655" s="8"/>
      <c r="H655" s="8"/>
      <c r="I655" s="15"/>
      <c r="K655" s="20"/>
      <c r="L655" s="15"/>
      <c r="M655" s="17"/>
      <c r="N655" s="18"/>
      <c r="O655" s="19"/>
      <c r="P655" s="8"/>
      <c r="Q655" s="8"/>
      <c r="R655" s="15"/>
    </row>
    <row r="656" ht="13.5" customHeight="1">
      <c r="B656" s="8"/>
      <c r="C656" s="8"/>
      <c r="G656" s="8"/>
      <c r="H656" s="8"/>
      <c r="I656" s="15"/>
      <c r="K656" s="20"/>
      <c r="L656" s="15"/>
      <c r="M656" s="17"/>
      <c r="N656" s="18"/>
      <c r="O656" s="19"/>
      <c r="P656" s="8"/>
      <c r="Q656" s="8"/>
      <c r="R656" s="15"/>
    </row>
    <row r="657" ht="13.5" customHeight="1">
      <c r="B657" s="8"/>
      <c r="C657" s="8"/>
      <c r="G657" s="8"/>
      <c r="H657" s="8"/>
      <c r="I657" s="15"/>
      <c r="K657" s="20"/>
      <c r="L657" s="15"/>
      <c r="M657" s="17"/>
      <c r="N657" s="18"/>
      <c r="O657" s="19"/>
      <c r="P657" s="8"/>
      <c r="Q657" s="8"/>
      <c r="R657" s="15"/>
    </row>
    <row r="658" ht="13.5" customHeight="1">
      <c r="B658" s="8"/>
      <c r="C658" s="8"/>
      <c r="G658" s="8"/>
      <c r="H658" s="8"/>
      <c r="I658" s="15"/>
      <c r="K658" s="20"/>
      <c r="L658" s="15"/>
      <c r="M658" s="17"/>
      <c r="N658" s="18"/>
      <c r="O658" s="19"/>
      <c r="P658" s="8"/>
      <c r="Q658" s="8"/>
      <c r="R658" s="15"/>
    </row>
    <row r="659" ht="13.5" customHeight="1">
      <c r="B659" s="8"/>
      <c r="C659" s="8"/>
      <c r="G659" s="8"/>
      <c r="H659" s="8"/>
      <c r="I659" s="15"/>
      <c r="K659" s="20"/>
      <c r="L659" s="15"/>
      <c r="M659" s="17"/>
      <c r="N659" s="18"/>
      <c r="O659" s="19"/>
      <c r="P659" s="8"/>
      <c r="Q659" s="8"/>
      <c r="R659" s="15"/>
    </row>
    <row r="660" ht="13.5" customHeight="1">
      <c r="B660" s="8"/>
      <c r="C660" s="8"/>
      <c r="G660" s="8"/>
      <c r="H660" s="8"/>
      <c r="I660" s="15"/>
      <c r="K660" s="20"/>
      <c r="L660" s="15"/>
      <c r="M660" s="17"/>
      <c r="N660" s="18"/>
      <c r="O660" s="19"/>
      <c r="P660" s="8"/>
      <c r="Q660" s="8"/>
      <c r="R660" s="15"/>
    </row>
    <row r="661" ht="13.5" customHeight="1">
      <c r="B661" s="8"/>
      <c r="C661" s="8"/>
      <c r="G661" s="8"/>
      <c r="H661" s="8"/>
      <c r="I661" s="15"/>
      <c r="K661" s="20"/>
      <c r="L661" s="15"/>
      <c r="M661" s="17"/>
      <c r="N661" s="18"/>
      <c r="O661" s="19"/>
      <c r="P661" s="8"/>
      <c r="Q661" s="8"/>
      <c r="R661" s="15"/>
    </row>
    <row r="662" ht="13.5" customHeight="1">
      <c r="B662" s="8"/>
      <c r="C662" s="8"/>
      <c r="G662" s="8"/>
      <c r="H662" s="8"/>
      <c r="I662" s="15"/>
      <c r="K662" s="20"/>
      <c r="L662" s="15"/>
      <c r="M662" s="17"/>
      <c r="N662" s="18"/>
      <c r="O662" s="19"/>
      <c r="P662" s="8"/>
      <c r="Q662" s="8"/>
      <c r="R662" s="15"/>
    </row>
    <row r="663" ht="13.5" customHeight="1">
      <c r="B663" s="8"/>
      <c r="C663" s="8"/>
      <c r="G663" s="8"/>
      <c r="H663" s="8"/>
      <c r="I663" s="15"/>
      <c r="K663" s="20"/>
      <c r="L663" s="15"/>
      <c r="M663" s="17"/>
      <c r="N663" s="18"/>
      <c r="O663" s="19"/>
      <c r="P663" s="8"/>
      <c r="Q663" s="8"/>
      <c r="R663" s="15"/>
    </row>
    <row r="664" ht="13.5" customHeight="1">
      <c r="B664" s="8"/>
      <c r="C664" s="8"/>
      <c r="G664" s="8"/>
      <c r="H664" s="8"/>
      <c r="I664" s="15"/>
      <c r="K664" s="20"/>
      <c r="L664" s="15"/>
      <c r="M664" s="17"/>
      <c r="N664" s="18"/>
      <c r="O664" s="19"/>
      <c r="P664" s="8"/>
      <c r="Q664" s="8"/>
      <c r="R664" s="15"/>
    </row>
    <row r="665" ht="13.5" customHeight="1">
      <c r="B665" s="8"/>
      <c r="C665" s="8"/>
      <c r="G665" s="8"/>
      <c r="H665" s="8"/>
      <c r="I665" s="15"/>
      <c r="K665" s="20"/>
      <c r="L665" s="15"/>
      <c r="M665" s="17"/>
      <c r="N665" s="18"/>
      <c r="O665" s="19"/>
      <c r="P665" s="8"/>
      <c r="Q665" s="8"/>
      <c r="R665" s="15"/>
    </row>
    <row r="666" ht="13.5" customHeight="1">
      <c r="B666" s="8"/>
      <c r="C666" s="8"/>
      <c r="G666" s="8"/>
      <c r="H666" s="8"/>
      <c r="I666" s="15"/>
      <c r="K666" s="20"/>
      <c r="L666" s="15"/>
      <c r="M666" s="17"/>
      <c r="N666" s="18"/>
      <c r="O666" s="19"/>
      <c r="P666" s="8"/>
      <c r="Q666" s="8"/>
      <c r="R666" s="15"/>
    </row>
    <row r="667" ht="13.5" customHeight="1">
      <c r="B667" s="8"/>
      <c r="C667" s="8"/>
      <c r="G667" s="8"/>
      <c r="H667" s="8"/>
      <c r="I667" s="15"/>
      <c r="K667" s="20"/>
      <c r="L667" s="15"/>
      <c r="M667" s="17"/>
      <c r="N667" s="18"/>
      <c r="O667" s="19"/>
      <c r="P667" s="8"/>
      <c r="Q667" s="8"/>
      <c r="R667" s="15"/>
    </row>
    <row r="668" ht="13.5" customHeight="1">
      <c r="B668" s="8"/>
      <c r="C668" s="8"/>
      <c r="G668" s="8"/>
      <c r="H668" s="8"/>
      <c r="I668" s="15"/>
      <c r="K668" s="20"/>
      <c r="L668" s="15"/>
      <c r="M668" s="17"/>
      <c r="N668" s="18"/>
      <c r="O668" s="19"/>
      <c r="P668" s="8"/>
      <c r="Q668" s="8"/>
      <c r="R668" s="15"/>
    </row>
    <row r="669" ht="13.5" customHeight="1">
      <c r="B669" s="8"/>
      <c r="C669" s="8"/>
      <c r="G669" s="8"/>
      <c r="H669" s="8"/>
      <c r="I669" s="15"/>
      <c r="K669" s="20"/>
      <c r="L669" s="15"/>
      <c r="M669" s="17"/>
      <c r="N669" s="18"/>
      <c r="O669" s="19"/>
      <c r="P669" s="8"/>
      <c r="Q669" s="8"/>
      <c r="R669" s="15"/>
    </row>
    <row r="670" ht="13.5" customHeight="1">
      <c r="B670" s="8"/>
      <c r="C670" s="8"/>
      <c r="G670" s="8"/>
      <c r="H670" s="8"/>
      <c r="I670" s="15"/>
      <c r="K670" s="20"/>
      <c r="L670" s="15"/>
      <c r="M670" s="17"/>
      <c r="N670" s="18"/>
      <c r="O670" s="19"/>
      <c r="P670" s="8"/>
      <c r="Q670" s="8"/>
      <c r="R670" s="15"/>
    </row>
    <row r="671" ht="13.5" customHeight="1">
      <c r="B671" s="8"/>
      <c r="C671" s="8"/>
      <c r="G671" s="8"/>
      <c r="H671" s="8"/>
      <c r="I671" s="15"/>
      <c r="K671" s="20"/>
      <c r="L671" s="15"/>
      <c r="M671" s="17"/>
      <c r="N671" s="18"/>
      <c r="O671" s="19"/>
      <c r="P671" s="8"/>
      <c r="Q671" s="8"/>
      <c r="R671" s="15"/>
    </row>
    <row r="672" ht="13.5" customHeight="1">
      <c r="B672" s="8"/>
      <c r="C672" s="8"/>
      <c r="G672" s="8"/>
      <c r="H672" s="8"/>
      <c r="I672" s="15"/>
      <c r="K672" s="20"/>
      <c r="L672" s="15"/>
      <c r="M672" s="17"/>
      <c r="N672" s="18"/>
      <c r="O672" s="19"/>
      <c r="P672" s="8"/>
      <c r="Q672" s="8"/>
      <c r="R672" s="15"/>
    </row>
    <row r="673" ht="13.5" customHeight="1">
      <c r="B673" s="8"/>
      <c r="C673" s="8"/>
      <c r="G673" s="8"/>
      <c r="H673" s="8"/>
      <c r="I673" s="15"/>
      <c r="K673" s="20"/>
      <c r="L673" s="15"/>
      <c r="M673" s="17"/>
      <c r="N673" s="18"/>
      <c r="O673" s="19"/>
      <c r="P673" s="8"/>
      <c r="Q673" s="8"/>
      <c r="R673" s="15"/>
    </row>
    <row r="674" ht="13.5" customHeight="1">
      <c r="B674" s="8"/>
      <c r="C674" s="8"/>
      <c r="G674" s="8"/>
      <c r="H674" s="8"/>
      <c r="I674" s="15"/>
      <c r="K674" s="20"/>
      <c r="L674" s="15"/>
      <c r="M674" s="17"/>
      <c r="N674" s="18"/>
      <c r="O674" s="19"/>
      <c r="P674" s="8"/>
      <c r="Q674" s="8"/>
      <c r="R674" s="15"/>
    </row>
    <row r="675" ht="13.5" customHeight="1">
      <c r="B675" s="8"/>
      <c r="C675" s="8"/>
      <c r="G675" s="8"/>
      <c r="H675" s="8"/>
      <c r="I675" s="15"/>
      <c r="K675" s="20"/>
      <c r="L675" s="15"/>
      <c r="M675" s="17"/>
      <c r="N675" s="18"/>
      <c r="O675" s="19"/>
      <c r="P675" s="8"/>
      <c r="Q675" s="8"/>
      <c r="R675" s="15"/>
    </row>
    <row r="676" ht="13.5" customHeight="1">
      <c r="B676" s="8"/>
      <c r="C676" s="8"/>
      <c r="G676" s="8"/>
      <c r="H676" s="8"/>
      <c r="I676" s="15"/>
      <c r="K676" s="20"/>
      <c r="L676" s="15"/>
      <c r="M676" s="17"/>
      <c r="N676" s="18"/>
      <c r="O676" s="19"/>
      <c r="P676" s="8"/>
      <c r="Q676" s="8"/>
      <c r="R676" s="15"/>
    </row>
    <row r="677" ht="13.5" customHeight="1">
      <c r="B677" s="8"/>
      <c r="C677" s="8"/>
      <c r="G677" s="8"/>
      <c r="H677" s="8"/>
      <c r="I677" s="15"/>
      <c r="K677" s="20"/>
      <c r="L677" s="15"/>
      <c r="M677" s="17"/>
      <c r="N677" s="18"/>
      <c r="O677" s="19"/>
      <c r="P677" s="8"/>
      <c r="Q677" s="8"/>
      <c r="R677" s="15"/>
    </row>
    <row r="678" ht="13.5" customHeight="1">
      <c r="B678" s="8"/>
      <c r="C678" s="8"/>
      <c r="G678" s="8"/>
      <c r="H678" s="8"/>
      <c r="I678" s="15"/>
      <c r="K678" s="20"/>
      <c r="L678" s="15"/>
      <c r="M678" s="17"/>
      <c r="N678" s="18"/>
      <c r="O678" s="19"/>
      <c r="P678" s="8"/>
      <c r="Q678" s="8"/>
      <c r="R678" s="15"/>
    </row>
    <row r="679" ht="13.5" customHeight="1">
      <c r="B679" s="8"/>
      <c r="C679" s="8"/>
      <c r="G679" s="8"/>
      <c r="H679" s="8"/>
      <c r="I679" s="15"/>
      <c r="K679" s="20"/>
      <c r="L679" s="15"/>
      <c r="M679" s="17"/>
      <c r="N679" s="18"/>
      <c r="O679" s="19"/>
      <c r="P679" s="8"/>
      <c r="Q679" s="8"/>
      <c r="R679" s="15"/>
    </row>
    <row r="680" ht="13.5" customHeight="1">
      <c r="B680" s="8"/>
      <c r="C680" s="8"/>
      <c r="G680" s="8"/>
      <c r="H680" s="8"/>
      <c r="I680" s="15"/>
      <c r="K680" s="20"/>
      <c r="L680" s="15"/>
      <c r="M680" s="17"/>
      <c r="N680" s="18"/>
      <c r="O680" s="19"/>
      <c r="P680" s="8"/>
      <c r="Q680" s="8"/>
      <c r="R680" s="15"/>
    </row>
    <row r="681" ht="13.5" customHeight="1">
      <c r="B681" s="8"/>
      <c r="C681" s="8"/>
      <c r="G681" s="8"/>
      <c r="H681" s="8"/>
      <c r="I681" s="15"/>
      <c r="K681" s="20"/>
      <c r="L681" s="15"/>
      <c r="M681" s="17"/>
      <c r="N681" s="18"/>
      <c r="O681" s="19"/>
      <c r="P681" s="8"/>
      <c r="Q681" s="8"/>
      <c r="R681" s="15"/>
    </row>
    <row r="682" ht="13.5" customHeight="1">
      <c r="B682" s="8"/>
      <c r="C682" s="8"/>
      <c r="G682" s="8"/>
      <c r="H682" s="8"/>
      <c r="I682" s="15"/>
      <c r="K682" s="20"/>
      <c r="L682" s="15"/>
      <c r="M682" s="17"/>
      <c r="N682" s="18"/>
      <c r="O682" s="19"/>
      <c r="P682" s="8"/>
      <c r="Q682" s="8"/>
      <c r="R682" s="15"/>
    </row>
    <row r="683" ht="13.5" customHeight="1">
      <c r="B683" s="8"/>
      <c r="C683" s="8"/>
      <c r="G683" s="8"/>
      <c r="H683" s="8"/>
      <c r="I683" s="15"/>
      <c r="K683" s="20"/>
      <c r="L683" s="15"/>
      <c r="M683" s="17"/>
      <c r="N683" s="18"/>
      <c r="O683" s="19"/>
      <c r="P683" s="8"/>
      <c r="Q683" s="8"/>
      <c r="R683" s="15"/>
    </row>
    <row r="684" ht="13.5" customHeight="1">
      <c r="B684" s="8"/>
      <c r="C684" s="8"/>
      <c r="G684" s="8"/>
      <c r="H684" s="8"/>
      <c r="I684" s="15"/>
      <c r="K684" s="20"/>
      <c r="L684" s="15"/>
      <c r="M684" s="17"/>
      <c r="N684" s="18"/>
      <c r="O684" s="19"/>
      <c r="P684" s="8"/>
      <c r="Q684" s="8"/>
      <c r="R684" s="15"/>
    </row>
    <row r="685" ht="13.5" customHeight="1">
      <c r="B685" s="8"/>
      <c r="C685" s="8"/>
      <c r="G685" s="8"/>
      <c r="H685" s="8"/>
      <c r="I685" s="15"/>
      <c r="K685" s="20"/>
      <c r="L685" s="15"/>
      <c r="M685" s="17"/>
      <c r="N685" s="18"/>
      <c r="O685" s="19"/>
      <c r="P685" s="8"/>
      <c r="Q685" s="8"/>
      <c r="R685" s="15"/>
    </row>
    <row r="686" ht="13.5" customHeight="1">
      <c r="B686" s="8"/>
      <c r="C686" s="8"/>
      <c r="G686" s="8"/>
      <c r="H686" s="8"/>
      <c r="I686" s="15"/>
      <c r="K686" s="20"/>
      <c r="L686" s="15"/>
      <c r="M686" s="17"/>
      <c r="N686" s="18"/>
      <c r="O686" s="19"/>
      <c r="P686" s="8"/>
      <c r="Q686" s="8"/>
      <c r="R686" s="15"/>
    </row>
    <row r="687" ht="13.5" customHeight="1">
      <c r="B687" s="8"/>
      <c r="C687" s="8"/>
      <c r="G687" s="8"/>
      <c r="H687" s="8"/>
      <c r="I687" s="15"/>
      <c r="K687" s="20"/>
      <c r="L687" s="15"/>
      <c r="M687" s="17"/>
      <c r="N687" s="18"/>
      <c r="O687" s="19"/>
      <c r="P687" s="8"/>
      <c r="Q687" s="8"/>
      <c r="R687" s="15"/>
    </row>
    <row r="688" ht="13.5" customHeight="1">
      <c r="B688" s="8"/>
      <c r="C688" s="8"/>
      <c r="G688" s="8"/>
      <c r="H688" s="8"/>
      <c r="I688" s="15"/>
      <c r="K688" s="20"/>
      <c r="L688" s="15"/>
      <c r="M688" s="17"/>
      <c r="N688" s="18"/>
      <c r="O688" s="19"/>
      <c r="P688" s="8"/>
      <c r="Q688" s="8"/>
      <c r="R688" s="15"/>
    </row>
    <row r="689" ht="13.5" customHeight="1">
      <c r="B689" s="8"/>
      <c r="C689" s="8"/>
      <c r="G689" s="8"/>
      <c r="H689" s="8"/>
      <c r="I689" s="15"/>
      <c r="K689" s="20"/>
      <c r="L689" s="15"/>
      <c r="M689" s="17"/>
      <c r="N689" s="18"/>
      <c r="O689" s="19"/>
      <c r="P689" s="8"/>
      <c r="Q689" s="8"/>
      <c r="R689" s="15"/>
    </row>
    <row r="690" ht="13.5" customHeight="1">
      <c r="B690" s="8"/>
      <c r="C690" s="8"/>
      <c r="G690" s="8"/>
      <c r="H690" s="8"/>
      <c r="I690" s="15"/>
      <c r="K690" s="20"/>
      <c r="L690" s="15"/>
      <c r="M690" s="17"/>
      <c r="N690" s="18"/>
      <c r="O690" s="19"/>
      <c r="P690" s="8"/>
      <c r="Q690" s="8"/>
      <c r="R690" s="15"/>
    </row>
    <row r="691" ht="13.5" customHeight="1">
      <c r="B691" s="8"/>
      <c r="C691" s="8"/>
      <c r="G691" s="8"/>
      <c r="H691" s="8"/>
      <c r="I691" s="15"/>
      <c r="K691" s="20"/>
      <c r="L691" s="15"/>
      <c r="M691" s="17"/>
      <c r="N691" s="18"/>
      <c r="O691" s="19"/>
      <c r="P691" s="8"/>
      <c r="Q691" s="8"/>
      <c r="R691" s="15"/>
    </row>
    <row r="692" ht="13.5" customHeight="1">
      <c r="B692" s="8"/>
      <c r="C692" s="8"/>
      <c r="G692" s="8"/>
      <c r="H692" s="8"/>
      <c r="I692" s="15"/>
      <c r="K692" s="20"/>
      <c r="L692" s="15"/>
      <c r="M692" s="17"/>
      <c r="N692" s="18"/>
      <c r="O692" s="19"/>
      <c r="P692" s="8"/>
      <c r="Q692" s="8"/>
      <c r="R692" s="15"/>
    </row>
    <row r="693" ht="13.5" customHeight="1">
      <c r="B693" s="8"/>
      <c r="C693" s="8"/>
      <c r="G693" s="8"/>
      <c r="H693" s="8"/>
      <c r="I693" s="15"/>
      <c r="K693" s="20"/>
      <c r="L693" s="15"/>
      <c r="M693" s="17"/>
      <c r="N693" s="18"/>
      <c r="O693" s="19"/>
      <c r="P693" s="8"/>
      <c r="Q693" s="8"/>
      <c r="R693" s="15"/>
    </row>
    <row r="694" ht="13.5" customHeight="1">
      <c r="B694" s="8"/>
      <c r="C694" s="8"/>
      <c r="G694" s="8"/>
      <c r="H694" s="8"/>
      <c r="I694" s="15"/>
      <c r="K694" s="20"/>
      <c r="L694" s="15"/>
      <c r="M694" s="17"/>
      <c r="N694" s="18"/>
      <c r="O694" s="19"/>
      <c r="P694" s="8"/>
      <c r="Q694" s="8"/>
      <c r="R694" s="15"/>
    </row>
    <row r="695" ht="13.5" customHeight="1">
      <c r="B695" s="8"/>
      <c r="C695" s="8"/>
      <c r="G695" s="8"/>
      <c r="H695" s="8"/>
      <c r="I695" s="15"/>
      <c r="K695" s="20"/>
      <c r="L695" s="15"/>
      <c r="M695" s="17"/>
      <c r="N695" s="18"/>
      <c r="O695" s="19"/>
      <c r="P695" s="8"/>
      <c r="Q695" s="8"/>
      <c r="R695" s="15"/>
    </row>
    <row r="696" ht="13.5" customHeight="1">
      <c r="B696" s="8"/>
      <c r="C696" s="8"/>
      <c r="G696" s="8"/>
      <c r="H696" s="8"/>
      <c r="I696" s="15"/>
      <c r="K696" s="20"/>
      <c r="L696" s="15"/>
      <c r="M696" s="17"/>
      <c r="N696" s="18"/>
      <c r="O696" s="19"/>
      <c r="P696" s="8"/>
      <c r="Q696" s="8"/>
      <c r="R696" s="15"/>
    </row>
    <row r="697" ht="13.5" customHeight="1">
      <c r="B697" s="8"/>
      <c r="C697" s="8"/>
      <c r="G697" s="8"/>
      <c r="H697" s="8"/>
      <c r="I697" s="15"/>
      <c r="K697" s="20"/>
      <c r="L697" s="15"/>
      <c r="M697" s="17"/>
      <c r="N697" s="18"/>
      <c r="O697" s="19"/>
      <c r="P697" s="8"/>
      <c r="Q697" s="8"/>
      <c r="R697" s="15"/>
    </row>
    <row r="698" ht="13.5" customHeight="1">
      <c r="B698" s="8"/>
      <c r="C698" s="8"/>
      <c r="G698" s="8"/>
      <c r="H698" s="8"/>
      <c r="I698" s="15"/>
      <c r="K698" s="20"/>
      <c r="L698" s="15"/>
      <c r="M698" s="17"/>
      <c r="N698" s="18"/>
      <c r="O698" s="19"/>
      <c r="P698" s="8"/>
      <c r="Q698" s="8"/>
      <c r="R698" s="15"/>
    </row>
    <row r="699" ht="13.5" customHeight="1">
      <c r="B699" s="8"/>
      <c r="C699" s="8"/>
      <c r="G699" s="8"/>
      <c r="H699" s="8"/>
      <c r="I699" s="15"/>
      <c r="K699" s="20"/>
      <c r="L699" s="15"/>
      <c r="M699" s="17"/>
      <c r="N699" s="18"/>
      <c r="O699" s="19"/>
      <c r="P699" s="8"/>
      <c r="Q699" s="8"/>
      <c r="R699" s="15"/>
    </row>
    <row r="700" ht="13.5" customHeight="1">
      <c r="B700" s="8"/>
      <c r="C700" s="8"/>
      <c r="G700" s="8"/>
      <c r="H700" s="8"/>
      <c r="I700" s="15"/>
      <c r="K700" s="20"/>
      <c r="L700" s="15"/>
      <c r="M700" s="17"/>
      <c r="N700" s="18"/>
      <c r="O700" s="19"/>
      <c r="P700" s="8"/>
      <c r="Q700" s="8"/>
      <c r="R700" s="15"/>
    </row>
    <row r="701" ht="13.5" customHeight="1">
      <c r="B701" s="8"/>
      <c r="C701" s="8"/>
      <c r="G701" s="8"/>
      <c r="H701" s="8"/>
      <c r="I701" s="15"/>
      <c r="K701" s="20"/>
      <c r="L701" s="15"/>
      <c r="M701" s="17"/>
      <c r="N701" s="18"/>
      <c r="O701" s="19"/>
      <c r="P701" s="8"/>
      <c r="Q701" s="8"/>
      <c r="R701" s="15"/>
    </row>
    <row r="702" ht="13.5" customHeight="1">
      <c r="B702" s="8"/>
      <c r="C702" s="8"/>
      <c r="G702" s="8"/>
      <c r="H702" s="8"/>
      <c r="I702" s="15"/>
      <c r="K702" s="20"/>
      <c r="L702" s="15"/>
      <c r="M702" s="17"/>
      <c r="N702" s="18"/>
      <c r="O702" s="19"/>
      <c r="P702" s="8"/>
      <c r="Q702" s="8"/>
      <c r="R702" s="15"/>
    </row>
    <row r="703" ht="13.5" customHeight="1">
      <c r="B703" s="8"/>
      <c r="C703" s="8"/>
      <c r="G703" s="8"/>
      <c r="H703" s="8"/>
      <c r="I703" s="15"/>
      <c r="K703" s="20"/>
      <c r="L703" s="15"/>
      <c r="M703" s="17"/>
      <c r="N703" s="18"/>
      <c r="O703" s="19"/>
      <c r="P703" s="8"/>
      <c r="Q703" s="8"/>
      <c r="R703" s="15"/>
    </row>
    <row r="704" ht="13.5" customHeight="1">
      <c r="B704" s="8"/>
      <c r="C704" s="8"/>
      <c r="G704" s="8"/>
      <c r="H704" s="8"/>
      <c r="I704" s="15"/>
      <c r="K704" s="20"/>
      <c r="L704" s="15"/>
      <c r="M704" s="17"/>
      <c r="N704" s="18"/>
      <c r="O704" s="19"/>
      <c r="P704" s="8"/>
      <c r="Q704" s="8"/>
      <c r="R704" s="15"/>
    </row>
    <row r="705" ht="13.5" customHeight="1">
      <c r="B705" s="8"/>
      <c r="C705" s="8"/>
      <c r="G705" s="8"/>
      <c r="H705" s="8"/>
      <c r="I705" s="15"/>
      <c r="K705" s="20"/>
      <c r="L705" s="15"/>
      <c r="M705" s="17"/>
      <c r="N705" s="18"/>
      <c r="O705" s="19"/>
      <c r="P705" s="8"/>
      <c r="Q705" s="8"/>
      <c r="R705" s="15"/>
    </row>
    <row r="706" ht="13.5" customHeight="1">
      <c r="B706" s="8"/>
      <c r="C706" s="8"/>
      <c r="G706" s="8"/>
      <c r="H706" s="8"/>
      <c r="I706" s="15"/>
      <c r="K706" s="20"/>
      <c r="L706" s="15"/>
      <c r="M706" s="17"/>
      <c r="N706" s="18"/>
      <c r="O706" s="19"/>
      <c r="P706" s="8"/>
      <c r="Q706" s="8"/>
      <c r="R706" s="15"/>
    </row>
    <row r="707" ht="13.5" customHeight="1">
      <c r="B707" s="8"/>
      <c r="C707" s="8"/>
      <c r="G707" s="8"/>
      <c r="H707" s="8"/>
      <c r="I707" s="15"/>
      <c r="K707" s="20"/>
      <c r="L707" s="15"/>
      <c r="M707" s="17"/>
      <c r="N707" s="18"/>
      <c r="O707" s="19"/>
      <c r="P707" s="8"/>
      <c r="Q707" s="8"/>
      <c r="R707" s="15"/>
    </row>
    <row r="708" ht="13.5" customHeight="1">
      <c r="B708" s="8"/>
      <c r="C708" s="8"/>
      <c r="G708" s="8"/>
      <c r="H708" s="8"/>
      <c r="I708" s="15"/>
      <c r="K708" s="20"/>
      <c r="L708" s="15"/>
      <c r="M708" s="17"/>
      <c r="N708" s="18"/>
      <c r="O708" s="19"/>
      <c r="P708" s="8"/>
      <c r="Q708" s="8"/>
      <c r="R708" s="15"/>
    </row>
    <row r="709" ht="13.5" customHeight="1">
      <c r="B709" s="8"/>
      <c r="C709" s="8"/>
      <c r="G709" s="8"/>
      <c r="H709" s="8"/>
      <c r="I709" s="15"/>
      <c r="K709" s="20"/>
      <c r="L709" s="15"/>
      <c r="M709" s="17"/>
      <c r="N709" s="18"/>
      <c r="O709" s="19"/>
      <c r="P709" s="8"/>
      <c r="Q709" s="8"/>
      <c r="R709" s="15"/>
    </row>
    <row r="710" ht="13.5" customHeight="1">
      <c r="B710" s="8"/>
      <c r="C710" s="8"/>
      <c r="G710" s="8"/>
      <c r="H710" s="8"/>
      <c r="I710" s="15"/>
      <c r="K710" s="20"/>
      <c r="L710" s="15"/>
      <c r="M710" s="17"/>
      <c r="N710" s="18"/>
      <c r="O710" s="19"/>
      <c r="P710" s="8"/>
      <c r="Q710" s="8"/>
      <c r="R710" s="15"/>
    </row>
    <row r="711" ht="13.5" customHeight="1">
      <c r="B711" s="8"/>
      <c r="C711" s="8"/>
      <c r="G711" s="8"/>
      <c r="H711" s="8"/>
      <c r="I711" s="15"/>
      <c r="K711" s="20"/>
      <c r="L711" s="15"/>
      <c r="M711" s="17"/>
      <c r="N711" s="18"/>
      <c r="O711" s="19"/>
      <c r="P711" s="8"/>
      <c r="Q711" s="8"/>
      <c r="R711" s="15"/>
    </row>
    <row r="712" ht="13.5" customHeight="1">
      <c r="B712" s="8"/>
      <c r="C712" s="8"/>
      <c r="G712" s="8"/>
      <c r="H712" s="8"/>
      <c r="I712" s="15"/>
      <c r="K712" s="20"/>
      <c r="L712" s="15"/>
      <c r="M712" s="17"/>
      <c r="N712" s="18"/>
      <c r="O712" s="19"/>
      <c r="P712" s="8"/>
      <c r="Q712" s="8"/>
      <c r="R712" s="15"/>
    </row>
    <row r="713" ht="13.5" customHeight="1">
      <c r="B713" s="8"/>
      <c r="C713" s="8"/>
      <c r="G713" s="8"/>
      <c r="H713" s="8"/>
      <c r="I713" s="15"/>
      <c r="K713" s="20"/>
      <c r="L713" s="15"/>
      <c r="M713" s="17"/>
      <c r="N713" s="18"/>
      <c r="O713" s="19"/>
      <c r="P713" s="8"/>
      <c r="Q713" s="8"/>
      <c r="R713" s="15"/>
    </row>
    <row r="714" ht="13.5" customHeight="1">
      <c r="B714" s="8"/>
      <c r="C714" s="8"/>
      <c r="G714" s="8"/>
      <c r="H714" s="8"/>
      <c r="I714" s="15"/>
      <c r="K714" s="20"/>
      <c r="L714" s="15"/>
      <c r="M714" s="17"/>
      <c r="N714" s="18"/>
      <c r="O714" s="19"/>
      <c r="P714" s="8"/>
      <c r="Q714" s="8"/>
      <c r="R714" s="15"/>
    </row>
    <row r="715" ht="13.5" customHeight="1">
      <c r="B715" s="8"/>
      <c r="C715" s="8"/>
      <c r="G715" s="8"/>
      <c r="H715" s="8"/>
      <c r="I715" s="15"/>
      <c r="K715" s="20"/>
      <c r="L715" s="15"/>
      <c r="M715" s="17"/>
      <c r="N715" s="18"/>
      <c r="O715" s="19"/>
      <c r="P715" s="8"/>
      <c r="Q715" s="8"/>
      <c r="R715" s="15"/>
    </row>
    <row r="716" ht="13.5" customHeight="1">
      <c r="B716" s="8"/>
      <c r="C716" s="8"/>
      <c r="G716" s="8"/>
      <c r="H716" s="8"/>
      <c r="I716" s="15"/>
      <c r="K716" s="20"/>
      <c r="L716" s="15"/>
      <c r="M716" s="17"/>
      <c r="N716" s="18"/>
      <c r="O716" s="19"/>
      <c r="P716" s="8"/>
      <c r="Q716" s="8"/>
      <c r="R716" s="15"/>
    </row>
    <row r="717" ht="13.5" customHeight="1">
      <c r="B717" s="8"/>
      <c r="C717" s="8"/>
      <c r="G717" s="8"/>
      <c r="H717" s="8"/>
      <c r="I717" s="15"/>
      <c r="K717" s="20"/>
      <c r="L717" s="15"/>
      <c r="M717" s="17"/>
      <c r="N717" s="18"/>
      <c r="O717" s="19"/>
      <c r="P717" s="8"/>
      <c r="Q717" s="8"/>
      <c r="R717" s="15"/>
    </row>
    <row r="718" ht="13.5" customHeight="1">
      <c r="B718" s="8"/>
      <c r="C718" s="8"/>
      <c r="G718" s="8"/>
      <c r="H718" s="8"/>
      <c r="I718" s="15"/>
      <c r="K718" s="20"/>
      <c r="L718" s="15"/>
      <c r="M718" s="17"/>
      <c r="N718" s="18"/>
      <c r="O718" s="19"/>
      <c r="P718" s="8"/>
      <c r="Q718" s="8"/>
      <c r="R718" s="15"/>
    </row>
    <row r="719" ht="13.5" customHeight="1">
      <c r="B719" s="8"/>
      <c r="C719" s="8"/>
      <c r="G719" s="8"/>
      <c r="H719" s="8"/>
      <c r="I719" s="15"/>
      <c r="K719" s="20"/>
      <c r="L719" s="15"/>
      <c r="M719" s="17"/>
      <c r="N719" s="18"/>
      <c r="O719" s="19"/>
      <c r="P719" s="8"/>
      <c r="Q719" s="8"/>
      <c r="R719" s="15"/>
    </row>
    <row r="720" ht="13.5" customHeight="1">
      <c r="B720" s="8"/>
      <c r="C720" s="8"/>
      <c r="G720" s="8"/>
      <c r="H720" s="8"/>
      <c r="I720" s="15"/>
      <c r="K720" s="20"/>
      <c r="L720" s="15"/>
      <c r="M720" s="17"/>
      <c r="N720" s="18"/>
      <c r="O720" s="19"/>
      <c r="P720" s="8"/>
      <c r="Q720" s="8"/>
      <c r="R720" s="15"/>
    </row>
    <row r="721" ht="13.5" customHeight="1">
      <c r="B721" s="8"/>
      <c r="C721" s="8"/>
      <c r="G721" s="8"/>
      <c r="H721" s="8"/>
      <c r="I721" s="15"/>
      <c r="K721" s="20"/>
      <c r="L721" s="15"/>
      <c r="M721" s="17"/>
      <c r="N721" s="18"/>
      <c r="O721" s="19"/>
      <c r="P721" s="8"/>
      <c r="Q721" s="8"/>
      <c r="R721" s="15"/>
    </row>
    <row r="722" ht="13.5" customHeight="1">
      <c r="B722" s="8"/>
      <c r="C722" s="8"/>
      <c r="G722" s="8"/>
      <c r="H722" s="8"/>
      <c r="I722" s="15"/>
      <c r="K722" s="20"/>
      <c r="L722" s="15"/>
      <c r="M722" s="17"/>
      <c r="N722" s="18"/>
      <c r="O722" s="19"/>
      <c r="P722" s="8"/>
      <c r="Q722" s="8"/>
      <c r="R722" s="15"/>
    </row>
    <row r="723" ht="13.5" customHeight="1">
      <c r="B723" s="8"/>
      <c r="C723" s="8"/>
      <c r="G723" s="8"/>
      <c r="H723" s="8"/>
      <c r="I723" s="15"/>
      <c r="K723" s="20"/>
      <c r="L723" s="15"/>
      <c r="M723" s="17"/>
      <c r="N723" s="18"/>
      <c r="O723" s="19"/>
      <c r="P723" s="8"/>
      <c r="Q723" s="8"/>
      <c r="R723" s="15"/>
    </row>
    <row r="724" ht="13.5" customHeight="1">
      <c r="B724" s="8"/>
      <c r="C724" s="8"/>
      <c r="G724" s="8"/>
      <c r="H724" s="8"/>
      <c r="I724" s="15"/>
      <c r="K724" s="20"/>
      <c r="L724" s="15"/>
      <c r="M724" s="17"/>
      <c r="N724" s="18"/>
      <c r="O724" s="19"/>
      <c r="P724" s="8"/>
      <c r="Q724" s="8"/>
      <c r="R724" s="15"/>
    </row>
    <row r="725" ht="13.5" customHeight="1">
      <c r="B725" s="8"/>
      <c r="C725" s="8"/>
      <c r="G725" s="8"/>
      <c r="H725" s="8"/>
      <c r="I725" s="15"/>
      <c r="K725" s="20"/>
      <c r="L725" s="15"/>
      <c r="M725" s="17"/>
      <c r="N725" s="18"/>
      <c r="O725" s="19"/>
      <c r="P725" s="8"/>
      <c r="Q725" s="8"/>
      <c r="R725" s="15"/>
    </row>
    <row r="726" ht="13.5" customHeight="1">
      <c r="B726" s="8"/>
      <c r="C726" s="8"/>
      <c r="G726" s="8"/>
      <c r="H726" s="8"/>
      <c r="I726" s="15"/>
      <c r="K726" s="20"/>
      <c r="L726" s="15"/>
      <c r="M726" s="17"/>
      <c r="N726" s="18"/>
      <c r="O726" s="19"/>
      <c r="P726" s="8"/>
      <c r="Q726" s="8"/>
      <c r="R726" s="15"/>
    </row>
    <row r="727" ht="13.5" customHeight="1">
      <c r="B727" s="8"/>
      <c r="C727" s="8"/>
      <c r="G727" s="8"/>
      <c r="H727" s="8"/>
      <c r="I727" s="15"/>
      <c r="K727" s="20"/>
      <c r="L727" s="15"/>
      <c r="M727" s="17"/>
      <c r="N727" s="18"/>
      <c r="O727" s="19"/>
      <c r="P727" s="8"/>
      <c r="Q727" s="8"/>
      <c r="R727" s="15"/>
    </row>
    <row r="728" ht="13.5" customHeight="1">
      <c r="B728" s="8"/>
      <c r="C728" s="8"/>
      <c r="G728" s="8"/>
      <c r="H728" s="8"/>
      <c r="I728" s="15"/>
      <c r="K728" s="20"/>
      <c r="L728" s="15"/>
      <c r="M728" s="17"/>
      <c r="N728" s="18"/>
      <c r="O728" s="19"/>
      <c r="P728" s="8"/>
      <c r="Q728" s="8"/>
      <c r="R728" s="15"/>
    </row>
    <row r="729" ht="13.5" customHeight="1">
      <c r="B729" s="8"/>
      <c r="C729" s="8"/>
      <c r="G729" s="8"/>
      <c r="H729" s="8"/>
      <c r="I729" s="15"/>
      <c r="K729" s="20"/>
      <c r="L729" s="15"/>
      <c r="M729" s="17"/>
      <c r="N729" s="18"/>
      <c r="O729" s="19"/>
      <c r="P729" s="8"/>
      <c r="Q729" s="8"/>
      <c r="R729" s="15"/>
    </row>
    <row r="730" ht="13.5" customHeight="1">
      <c r="B730" s="8"/>
      <c r="C730" s="8"/>
      <c r="G730" s="8"/>
      <c r="H730" s="8"/>
      <c r="I730" s="15"/>
      <c r="K730" s="20"/>
      <c r="L730" s="15"/>
      <c r="M730" s="17"/>
      <c r="N730" s="18"/>
      <c r="O730" s="19"/>
      <c r="P730" s="8"/>
      <c r="Q730" s="8"/>
      <c r="R730" s="15"/>
    </row>
    <row r="731" ht="13.5" customHeight="1">
      <c r="B731" s="8"/>
      <c r="C731" s="8"/>
      <c r="G731" s="8"/>
      <c r="H731" s="8"/>
      <c r="I731" s="15"/>
      <c r="K731" s="20"/>
      <c r="L731" s="15"/>
      <c r="M731" s="17"/>
      <c r="N731" s="18"/>
      <c r="O731" s="19"/>
      <c r="P731" s="8"/>
      <c r="Q731" s="8"/>
      <c r="R731" s="15"/>
    </row>
    <row r="732" ht="13.5" customHeight="1">
      <c r="B732" s="8"/>
      <c r="C732" s="8"/>
      <c r="G732" s="8"/>
      <c r="H732" s="8"/>
      <c r="I732" s="15"/>
      <c r="K732" s="20"/>
      <c r="L732" s="15"/>
      <c r="M732" s="17"/>
      <c r="N732" s="18"/>
      <c r="O732" s="19"/>
      <c r="P732" s="8"/>
      <c r="Q732" s="8"/>
      <c r="R732" s="15"/>
    </row>
    <row r="733" ht="13.5" customHeight="1">
      <c r="B733" s="8"/>
      <c r="C733" s="8"/>
      <c r="G733" s="8"/>
      <c r="H733" s="8"/>
      <c r="I733" s="15"/>
      <c r="K733" s="20"/>
      <c r="L733" s="15"/>
      <c r="M733" s="17"/>
      <c r="N733" s="18"/>
      <c r="O733" s="19"/>
      <c r="P733" s="8"/>
      <c r="Q733" s="8"/>
      <c r="R733" s="15"/>
    </row>
    <row r="734" ht="13.5" customHeight="1">
      <c r="B734" s="8"/>
      <c r="C734" s="8"/>
      <c r="G734" s="8"/>
      <c r="H734" s="8"/>
      <c r="I734" s="15"/>
      <c r="K734" s="20"/>
      <c r="L734" s="15"/>
      <c r="M734" s="17"/>
      <c r="N734" s="18"/>
      <c r="O734" s="19"/>
      <c r="P734" s="8"/>
      <c r="Q734" s="8"/>
      <c r="R734" s="15"/>
    </row>
    <row r="735" ht="13.5" customHeight="1">
      <c r="B735" s="8"/>
      <c r="C735" s="8"/>
      <c r="G735" s="8"/>
      <c r="H735" s="8"/>
      <c r="I735" s="15"/>
      <c r="K735" s="20"/>
      <c r="L735" s="15"/>
      <c r="M735" s="17"/>
      <c r="N735" s="18"/>
      <c r="O735" s="19"/>
      <c r="P735" s="8"/>
      <c r="Q735" s="8"/>
      <c r="R735" s="15"/>
    </row>
    <row r="736" ht="13.5" customHeight="1">
      <c r="B736" s="8"/>
      <c r="C736" s="8"/>
      <c r="G736" s="8"/>
      <c r="H736" s="8"/>
      <c r="I736" s="15"/>
      <c r="K736" s="20"/>
      <c r="L736" s="15"/>
      <c r="M736" s="17"/>
      <c r="N736" s="18"/>
      <c r="O736" s="19"/>
      <c r="P736" s="8"/>
      <c r="Q736" s="8"/>
      <c r="R736" s="15"/>
    </row>
    <row r="737" ht="13.5" customHeight="1">
      <c r="B737" s="8"/>
      <c r="C737" s="8"/>
      <c r="G737" s="8"/>
      <c r="H737" s="8"/>
      <c r="I737" s="15"/>
      <c r="K737" s="20"/>
      <c r="L737" s="15"/>
      <c r="M737" s="17"/>
      <c r="N737" s="18"/>
      <c r="O737" s="19"/>
      <c r="P737" s="8"/>
      <c r="Q737" s="8"/>
      <c r="R737" s="15"/>
    </row>
    <row r="738" ht="13.5" customHeight="1">
      <c r="B738" s="8"/>
      <c r="C738" s="8"/>
      <c r="G738" s="8"/>
      <c r="H738" s="8"/>
      <c r="I738" s="15"/>
      <c r="K738" s="20"/>
      <c r="L738" s="15"/>
      <c r="M738" s="17"/>
      <c r="N738" s="18"/>
      <c r="O738" s="19"/>
      <c r="P738" s="8"/>
      <c r="Q738" s="8"/>
      <c r="R738" s="15"/>
    </row>
    <row r="739" ht="13.5" customHeight="1">
      <c r="B739" s="8"/>
      <c r="C739" s="8"/>
      <c r="G739" s="8"/>
      <c r="H739" s="8"/>
      <c r="I739" s="15"/>
      <c r="K739" s="20"/>
      <c r="L739" s="15"/>
      <c r="M739" s="17"/>
      <c r="N739" s="18"/>
      <c r="O739" s="19"/>
      <c r="P739" s="8"/>
      <c r="Q739" s="8"/>
      <c r="R739" s="15"/>
    </row>
    <row r="740" ht="13.5" customHeight="1">
      <c r="B740" s="8"/>
      <c r="C740" s="8"/>
      <c r="G740" s="8"/>
      <c r="H740" s="8"/>
      <c r="I740" s="15"/>
      <c r="K740" s="20"/>
      <c r="L740" s="15"/>
      <c r="M740" s="17"/>
      <c r="N740" s="18"/>
      <c r="O740" s="19"/>
      <c r="P740" s="8"/>
      <c r="Q740" s="8"/>
      <c r="R740" s="15"/>
    </row>
    <row r="741" ht="13.5" customHeight="1">
      <c r="B741" s="8"/>
      <c r="C741" s="8"/>
      <c r="G741" s="8"/>
      <c r="H741" s="8"/>
      <c r="I741" s="15"/>
      <c r="K741" s="20"/>
      <c r="L741" s="15"/>
      <c r="M741" s="17"/>
      <c r="N741" s="18"/>
      <c r="O741" s="19"/>
      <c r="P741" s="8"/>
      <c r="Q741" s="8"/>
      <c r="R741" s="15"/>
    </row>
    <row r="742" ht="13.5" customHeight="1">
      <c r="B742" s="8"/>
      <c r="C742" s="8"/>
      <c r="G742" s="8"/>
      <c r="H742" s="8"/>
      <c r="I742" s="15"/>
      <c r="K742" s="20"/>
      <c r="L742" s="15"/>
      <c r="M742" s="17"/>
      <c r="N742" s="18"/>
      <c r="O742" s="19"/>
      <c r="P742" s="8"/>
      <c r="Q742" s="8"/>
      <c r="R742" s="15"/>
    </row>
    <row r="743" ht="13.5" customHeight="1">
      <c r="B743" s="8"/>
      <c r="C743" s="8"/>
      <c r="G743" s="8"/>
      <c r="H743" s="8"/>
      <c r="I743" s="15"/>
      <c r="K743" s="20"/>
      <c r="L743" s="15"/>
      <c r="M743" s="17"/>
      <c r="N743" s="18"/>
      <c r="O743" s="19"/>
      <c r="P743" s="8"/>
      <c r="Q743" s="8"/>
      <c r="R743" s="15"/>
    </row>
    <row r="744" ht="13.5" customHeight="1">
      <c r="B744" s="8"/>
      <c r="C744" s="8"/>
      <c r="G744" s="8"/>
      <c r="H744" s="8"/>
      <c r="I744" s="15"/>
      <c r="K744" s="20"/>
      <c r="L744" s="15"/>
      <c r="M744" s="17"/>
      <c r="N744" s="18"/>
      <c r="O744" s="19"/>
      <c r="P744" s="8"/>
      <c r="Q744" s="8"/>
      <c r="R744" s="15"/>
    </row>
    <row r="745" ht="13.5" customHeight="1">
      <c r="B745" s="8"/>
      <c r="C745" s="8"/>
      <c r="G745" s="8"/>
      <c r="H745" s="8"/>
      <c r="I745" s="15"/>
      <c r="K745" s="20"/>
      <c r="L745" s="15"/>
      <c r="M745" s="17"/>
      <c r="N745" s="18"/>
      <c r="O745" s="19"/>
      <c r="P745" s="8"/>
      <c r="Q745" s="8"/>
      <c r="R745" s="15"/>
    </row>
    <row r="746" ht="13.5" customHeight="1">
      <c r="B746" s="8"/>
      <c r="C746" s="8"/>
      <c r="G746" s="8"/>
      <c r="H746" s="8"/>
      <c r="I746" s="15"/>
      <c r="K746" s="20"/>
      <c r="L746" s="15"/>
      <c r="M746" s="17"/>
      <c r="N746" s="18"/>
      <c r="O746" s="19"/>
      <c r="P746" s="8"/>
      <c r="Q746" s="8"/>
      <c r="R746" s="15"/>
    </row>
    <row r="747" ht="13.5" customHeight="1">
      <c r="B747" s="8"/>
      <c r="C747" s="8"/>
      <c r="G747" s="8"/>
      <c r="H747" s="8"/>
      <c r="I747" s="15"/>
      <c r="K747" s="20"/>
      <c r="L747" s="15"/>
      <c r="M747" s="17"/>
      <c r="N747" s="18"/>
      <c r="O747" s="19"/>
      <c r="P747" s="8"/>
      <c r="Q747" s="8"/>
      <c r="R747" s="15"/>
    </row>
    <row r="748" ht="13.5" customHeight="1">
      <c r="B748" s="8"/>
      <c r="C748" s="8"/>
      <c r="G748" s="8"/>
      <c r="H748" s="8"/>
      <c r="I748" s="15"/>
      <c r="K748" s="20"/>
      <c r="L748" s="15"/>
      <c r="M748" s="17"/>
      <c r="N748" s="18"/>
      <c r="O748" s="19"/>
      <c r="P748" s="8"/>
      <c r="Q748" s="8"/>
      <c r="R748" s="15"/>
    </row>
    <row r="749" ht="13.5" customHeight="1">
      <c r="B749" s="8"/>
      <c r="C749" s="8"/>
      <c r="G749" s="8"/>
      <c r="H749" s="8"/>
      <c r="I749" s="15"/>
      <c r="K749" s="20"/>
      <c r="L749" s="15"/>
      <c r="M749" s="17"/>
      <c r="N749" s="18"/>
      <c r="O749" s="19"/>
      <c r="P749" s="8"/>
      <c r="Q749" s="8"/>
      <c r="R749" s="15"/>
    </row>
    <row r="750" ht="13.5" customHeight="1">
      <c r="B750" s="8"/>
      <c r="C750" s="8"/>
      <c r="G750" s="8"/>
      <c r="H750" s="8"/>
      <c r="I750" s="15"/>
      <c r="K750" s="20"/>
      <c r="L750" s="15"/>
      <c r="M750" s="17"/>
      <c r="N750" s="18"/>
      <c r="O750" s="19"/>
      <c r="P750" s="8"/>
      <c r="Q750" s="8"/>
      <c r="R750" s="15"/>
    </row>
    <row r="751" ht="13.5" customHeight="1">
      <c r="B751" s="8"/>
      <c r="C751" s="8"/>
      <c r="G751" s="8"/>
      <c r="H751" s="8"/>
      <c r="I751" s="15"/>
      <c r="K751" s="20"/>
      <c r="L751" s="15"/>
      <c r="M751" s="17"/>
      <c r="N751" s="18"/>
      <c r="O751" s="19"/>
      <c r="P751" s="8"/>
      <c r="Q751" s="8"/>
      <c r="R751" s="15"/>
    </row>
    <row r="752" ht="13.5" customHeight="1">
      <c r="B752" s="8"/>
      <c r="C752" s="8"/>
      <c r="G752" s="8"/>
      <c r="H752" s="8"/>
      <c r="I752" s="15"/>
      <c r="K752" s="20"/>
      <c r="L752" s="15"/>
      <c r="M752" s="17"/>
      <c r="N752" s="18"/>
      <c r="O752" s="19"/>
      <c r="P752" s="8"/>
      <c r="Q752" s="8"/>
      <c r="R752" s="15"/>
    </row>
    <row r="753" ht="13.5" customHeight="1">
      <c r="B753" s="8"/>
      <c r="C753" s="8"/>
      <c r="G753" s="8"/>
      <c r="H753" s="8"/>
      <c r="I753" s="15"/>
      <c r="K753" s="20"/>
      <c r="L753" s="15"/>
      <c r="M753" s="17"/>
      <c r="N753" s="18"/>
      <c r="O753" s="19"/>
      <c r="P753" s="8"/>
      <c r="Q753" s="8"/>
      <c r="R753" s="15"/>
    </row>
    <row r="754" ht="13.5" customHeight="1">
      <c r="B754" s="8"/>
      <c r="C754" s="8"/>
      <c r="G754" s="8"/>
      <c r="H754" s="8"/>
      <c r="I754" s="15"/>
      <c r="K754" s="20"/>
      <c r="L754" s="15"/>
      <c r="M754" s="17"/>
      <c r="N754" s="18"/>
      <c r="O754" s="19"/>
      <c r="P754" s="8"/>
      <c r="Q754" s="8"/>
      <c r="R754" s="15"/>
    </row>
    <row r="755" ht="13.5" customHeight="1">
      <c r="B755" s="8"/>
      <c r="C755" s="8"/>
      <c r="G755" s="8"/>
      <c r="H755" s="8"/>
      <c r="I755" s="15"/>
      <c r="K755" s="20"/>
      <c r="L755" s="15"/>
      <c r="M755" s="17"/>
      <c r="N755" s="18"/>
      <c r="O755" s="19"/>
      <c r="P755" s="8"/>
      <c r="Q755" s="8"/>
      <c r="R755" s="15"/>
    </row>
    <row r="756" ht="13.5" customHeight="1">
      <c r="B756" s="8"/>
      <c r="C756" s="8"/>
      <c r="G756" s="8"/>
      <c r="H756" s="8"/>
      <c r="I756" s="15"/>
      <c r="K756" s="20"/>
      <c r="L756" s="15"/>
      <c r="M756" s="17"/>
      <c r="N756" s="18"/>
      <c r="O756" s="19"/>
      <c r="P756" s="8"/>
      <c r="Q756" s="8"/>
      <c r="R756" s="15"/>
    </row>
    <row r="757" ht="13.5" customHeight="1">
      <c r="B757" s="8"/>
      <c r="C757" s="8"/>
      <c r="G757" s="8"/>
      <c r="H757" s="8"/>
      <c r="I757" s="15"/>
      <c r="K757" s="20"/>
      <c r="L757" s="15"/>
      <c r="M757" s="17"/>
      <c r="N757" s="18"/>
      <c r="O757" s="19"/>
      <c r="P757" s="8"/>
      <c r="Q757" s="8"/>
      <c r="R757" s="15"/>
    </row>
    <row r="758" ht="13.5" customHeight="1">
      <c r="B758" s="8"/>
      <c r="C758" s="8"/>
      <c r="G758" s="8"/>
      <c r="H758" s="8"/>
      <c r="I758" s="15"/>
      <c r="K758" s="20"/>
      <c r="L758" s="15"/>
      <c r="M758" s="17"/>
      <c r="N758" s="18"/>
      <c r="O758" s="19"/>
      <c r="P758" s="8"/>
      <c r="Q758" s="8"/>
      <c r="R758" s="15"/>
    </row>
    <row r="759" ht="13.5" customHeight="1">
      <c r="B759" s="8"/>
      <c r="C759" s="8"/>
      <c r="G759" s="8"/>
      <c r="H759" s="8"/>
      <c r="I759" s="15"/>
      <c r="K759" s="20"/>
      <c r="L759" s="15"/>
      <c r="M759" s="17"/>
      <c r="N759" s="18"/>
      <c r="O759" s="19"/>
      <c r="P759" s="8"/>
      <c r="Q759" s="8"/>
      <c r="R759" s="15"/>
    </row>
    <row r="760" ht="13.5" customHeight="1">
      <c r="B760" s="8"/>
      <c r="C760" s="8"/>
      <c r="G760" s="8"/>
      <c r="H760" s="8"/>
      <c r="I760" s="15"/>
      <c r="K760" s="20"/>
      <c r="L760" s="15"/>
      <c r="M760" s="17"/>
      <c r="N760" s="18"/>
      <c r="O760" s="19"/>
      <c r="P760" s="8"/>
      <c r="Q760" s="8"/>
      <c r="R760" s="15"/>
    </row>
    <row r="761" ht="13.5" customHeight="1">
      <c r="B761" s="8"/>
      <c r="C761" s="8"/>
      <c r="G761" s="8"/>
      <c r="H761" s="8"/>
      <c r="I761" s="15"/>
      <c r="K761" s="20"/>
      <c r="L761" s="15"/>
      <c r="M761" s="17"/>
      <c r="N761" s="18"/>
      <c r="O761" s="19"/>
      <c r="P761" s="8"/>
      <c r="Q761" s="8"/>
      <c r="R761" s="15"/>
    </row>
    <row r="762" ht="13.5" customHeight="1">
      <c r="B762" s="8"/>
      <c r="C762" s="8"/>
      <c r="G762" s="8"/>
      <c r="H762" s="8"/>
      <c r="I762" s="15"/>
      <c r="K762" s="20"/>
      <c r="L762" s="15"/>
      <c r="M762" s="17"/>
      <c r="N762" s="18"/>
      <c r="O762" s="19"/>
      <c r="P762" s="8"/>
      <c r="Q762" s="8"/>
      <c r="R762" s="15"/>
    </row>
    <row r="763" ht="13.5" customHeight="1">
      <c r="B763" s="8"/>
      <c r="C763" s="8"/>
      <c r="G763" s="8"/>
      <c r="H763" s="8"/>
      <c r="I763" s="15"/>
      <c r="K763" s="20"/>
      <c r="L763" s="15"/>
      <c r="M763" s="17"/>
      <c r="N763" s="18"/>
      <c r="O763" s="19"/>
      <c r="P763" s="8"/>
      <c r="Q763" s="8"/>
      <c r="R763" s="15"/>
    </row>
    <row r="764" ht="13.5" customHeight="1">
      <c r="B764" s="8"/>
      <c r="C764" s="8"/>
      <c r="G764" s="8"/>
      <c r="H764" s="8"/>
      <c r="I764" s="15"/>
      <c r="K764" s="20"/>
      <c r="L764" s="15"/>
      <c r="M764" s="17"/>
      <c r="N764" s="18"/>
      <c r="O764" s="19"/>
      <c r="P764" s="8"/>
      <c r="Q764" s="8"/>
      <c r="R764" s="15"/>
    </row>
    <row r="765" ht="13.5" customHeight="1">
      <c r="B765" s="8"/>
      <c r="C765" s="8"/>
      <c r="G765" s="8"/>
      <c r="H765" s="8"/>
      <c r="I765" s="15"/>
      <c r="K765" s="20"/>
      <c r="L765" s="15"/>
      <c r="M765" s="17"/>
      <c r="N765" s="18"/>
      <c r="O765" s="19"/>
      <c r="P765" s="8"/>
      <c r="Q765" s="8"/>
      <c r="R765" s="15"/>
    </row>
    <row r="766" ht="13.5" customHeight="1">
      <c r="B766" s="8"/>
      <c r="C766" s="8"/>
      <c r="G766" s="8"/>
      <c r="H766" s="8"/>
      <c r="I766" s="15"/>
      <c r="K766" s="20"/>
      <c r="L766" s="15"/>
      <c r="M766" s="17"/>
      <c r="N766" s="18"/>
      <c r="O766" s="19"/>
      <c r="P766" s="8"/>
      <c r="Q766" s="8"/>
      <c r="R766" s="15"/>
    </row>
    <row r="767" ht="13.5" customHeight="1">
      <c r="B767" s="8"/>
      <c r="C767" s="8"/>
      <c r="G767" s="8"/>
      <c r="H767" s="8"/>
      <c r="I767" s="15"/>
      <c r="K767" s="20"/>
      <c r="L767" s="15"/>
      <c r="M767" s="17"/>
      <c r="N767" s="18"/>
      <c r="O767" s="19"/>
      <c r="P767" s="8"/>
      <c r="Q767" s="8"/>
      <c r="R767" s="15"/>
    </row>
    <row r="768" ht="13.5" customHeight="1">
      <c r="B768" s="8"/>
      <c r="C768" s="8"/>
      <c r="G768" s="8"/>
      <c r="H768" s="8"/>
      <c r="I768" s="15"/>
      <c r="K768" s="20"/>
      <c r="L768" s="15"/>
      <c r="M768" s="17"/>
      <c r="N768" s="18"/>
      <c r="O768" s="19"/>
      <c r="P768" s="8"/>
      <c r="Q768" s="8"/>
      <c r="R768" s="15"/>
    </row>
    <row r="769" ht="13.5" customHeight="1">
      <c r="B769" s="8"/>
      <c r="C769" s="8"/>
      <c r="G769" s="8"/>
      <c r="H769" s="8"/>
      <c r="I769" s="15"/>
      <c r="K769" s="20"/>
      <c r="L769" s="15"/>
      <c r="M769" s="17"/>
      <c r="N769" s="18"/>
      <c r="O769" s="19"/>
      <c r="P769" s="8"/>
      <c r="Q769" s="8"/>
      <c r="R769" s="15"/>
    </row>
    <row r="770" ht="13.5" customHeight="1">
      <c r="B770" s="8"/>
      <c r="C770" s="8"/>
      <c r="G770" s="8"/>
      <c r="H770" s="8"/>
      <c r="I770" s="15"/>
      <c r="K770" s="20"/>
      <c r="L770" s="15"/>
      <c r="M770" s="17"/>
      <c r="N770" s="18"/>
      <c r="O770" s="19"/>
      <c r="P770" s="8"/>
      <c r="Q770" s="8"/>
      <c r="R770" s="15"/>
    </row>
    <row r="771" ht="13.5" customHeight="1">
      <c r="B771" s="8"/>
      <c r="C771" s="8"/>
      <c r="G771" s="8"/>
      <c r="H771" s="8"/>
      <c r="I771" s="15"/>
      <c r="K771" s="20"/>
      <c r="L771" s="15"/>
      <c r="M771" s="17"/>
      <c r="N771" s="18"/>
      <c r="O771" s="19"/>
      <c r="P771" s="8"/>
      <c r="Q771" s="8"/>
      <c r="R771" s="15"/>
    </row>
    <row r="772" ht="13.5" customHeight="1">
      <c r="B772" s="8"/>
      <c r="C772" s="8"/>
      <c r="G772" s="8"/>
      <c r="H772" s="8"/>
      <c r="I772" s="15"/>
      <c r="K772" s="20"/>
      <c r="L772" s="15"/>
      <c r="M772" s="17"/>
      <c r="N772" s="18"/>
      <c r="O772" s="19"/>
      <c r="P772" s="8"/>
      <c r="Q772" s="8"/>
      <c r="R772" s="15"/>
    </row>
    <row r="773" ht="13.5" customHeight="1">
      <c r="B773" s="8"/>
      <c r="C773" s="8"/>
      <c r="G773" s="8"/>
      <c r="H773" s="8"/>
      <c r="I773" s="15"/>
      <c r="K773" s="20"/>
      <c r="L773" s="15"/>
      <c r="M773" s="17"/>
      <c r="N773" s="18"/>
      <c r="O773" s="19"/>
      <c r="P773" s="8"/>
      <c r="Q773" s="8"/>
      <c r="R773" s="15"/>
    </row>
    <row r="774" ht="13.5" customHeight="1">
      <c r="B774" s="8"/>
      <c r="C774" s="8"/>
      <c r="G774" s="8"/>
      <c r="H774" s="8"/>
      <c r="I774" s="15"/>
      <c r="K774" s="20"/>
      <c r="L774" s="15"/>
      <c r="M774" s="17"/>
      <c r="N774" s="18"/>
      <c r="O774" s="19"/>
      <c r="P774" s="8"/>
      <c r="Q774" s="8"/>
      <c r="R774" s="15"/>
    </row>
    <row r="775" ht="13.5" customHeight="1">
      <c r="B775" s="8"/>
      <c r="C775" s="8"/>
      <c r="G775" s="8"/>
      <c r="H775" s="8"/>
      <c r="I775" s="15"/>
      <c r="K775" s="20"/>
      <c r="L775" s="15"/>
      <c r="M775" s="17"/>
      <c r="N775" s="18"/>
      <c r="O775" s="19"/>
      <c r="P775" s="8"/>
      <c r="Q775" s="8"/>
      <c r="R775" s="15"/>
    </row>
    <row r="776" ht="13.5" customHeight="1">
      <c r="B776" s="8"/>
      <c r="C776" s="8"/>
      <c r="G776" s="8"/>
      <c r="H776" s="8"/>
      <c r="I776" s="15"/>
      <c r="K776" s="20"/>
      <c r="L776" s="15"/>
      <c r="M776" s="17"/>
      <c r="N776" s="18"/>
      <c r="O776" s="19"/>
      <c r="P776" s="8"/>
      <c r="Q776" s="8"/>
      <c r="R776" s="15"/>
    </row>
    <row r="777" ht="13.5" customHeight="1">
      <c r="B777" s="8"/>
      <c r="C777" s="8"/>
      <c r="G777" s="8"/>
      <c r="H777" s="8"/>
      <c r="I777" s="15"/>
      <c r="K777" s="20"/>
      <c r="L777" s="15"/>
      <c r="M777" s="17"/>
      <c r="N777" s="18"/>
      <c r="O777" s="19"/>
      <c r="P777" s="8"/>
      <c r="Q777" s="8"/>
      <c r="R777" s="15"/>
    </row>
    <row r="778" ht="13.5" customHeight="1">
      <c r="B778" s="8"/>
      <c r="C778" s="8"/>
      <c r="G778" s="8"/>
      <c r="H778" s="8"/>
      <c r="I778" s="15"/>
      <c r="K778" s="20"/>
      <c r="L778" s="15"/>
      <c r="M778" s="17"/>
      <c r="N778" s="18"/>
      <c r="O778" s="19"/>
      <c r="P778" s="8"/>
      <c r="Q778" s="8"/>
      <c r="R778" s="15"/>
    </row>
    <row r="779" ht="13.5" customHeight="1">
      <c r="B779" s="8"/>
      <c r="C779" s="8"/>
      <c r="G779" s="8"/>
      <c r="H779" s="8"/>
      <c r="I779" s="15"/>
      <c r="K779" s="20"/>
      <c r="L779" s="15"/>
      <c r="M779" s="17"/>
      <c r="N779" s="18"/>
      <c r="O779" s="19"/>
      <c r="P779" s="8"/>
      <c r="Q779" s="8"/>
      <c r="R779" s="15"/>
    </row>
    <row r="780" ht="13.5" customHeight="1">
      <c r="B780" s="8"/>
      <c r="C780" s="8"/>
      <c r="G780" s="8"/>
      <c r="H780" s="8"/>
      <c r="I780" s="15"/>
      <c r="K780" s="20"/>
      <c r="L780" s="15"/>
      <c r="M780" s="17"/>
      <c r="N780" s="18"/>
      <c r="O780" s="19"/>
      <c r="P780" s="8"/>
      <c r="Q780" s="8"/>
      <c r="R780" s="15"/>
    </row>
    <row r="781" ht="13.5" customHeight="1">
      <c r="B781" s="8"/>
      <c r="C781" s="8"/>
      <c r="G781" s="8"/>
      <c r="H781" s="8"/>
      <c r="I781" s="15"/>
      <c r="K781" s="20"/>
      <c r="L781" s="15"/>
      <c r="M781" s="17"/>
      <c r="N781" s="18"/>
      <c r="O781" s="19"/>
      <c r="P781" s="8"/>
      <c r="Q781" s="8"/>
      <c r="R781" s="15"/>
    </row>
    <row r="782" ht="13.5" customHeight="1">
      <c r="B782" s="8"/>
      <c r="C782" s="8"/>
      <c r="G782" s="8"/>
      <c r="H782" s="8"/>
      <c r="I782" s="15"/>
      <c r="K782" s="20"/>
      <c r="L782" s="15"/>
      <c r="M782" s="17"/>
      <c r="N782" s="18"/>
      <c r="O782" s="19"/>
      <c r="P782" s="8"/>
      <c r="Q782" s="8"/>
      <c r="R782" s="15"/>
    </row>
    <row r="783" ht="13.5" customHeight="1">
      <c r="B783" s="8"/>
      <c r="C783" s="8"/>
      <c r="G783" s="8"/>
      <c r="H783" s="8"/>
      <c r="I783" s="15"/>
      <c r="K783" s="20"/>
      <c r="L783" s="15"/>
      <c r="M783" s="17"/>
      <c r="N783" s="18"/>
      <c r="O783" s="19"/>
      <c r="P783" s="8"/>
      <c r="Q783" s="8"/>
      <c r="R783" s="15"/>
    </row>
    <row r="784" ht="13.5" customHeight="1">
      <c r="B784" s="8"/>
      <c r="C784" s="8"/>
      <c r="G784" s="8"/>
      <c r="H784" s="8"/>
      <c r="I784" s="15"/>
      <c r="K784" s="20"/>
      <c r="L784" s="15"/>
      <c r="M784" s="17"/>
      <c r="N784" s="18"/>
      <c r="O784" s="19"/>
      <c r="P784" s="8"/>
      <c r="Q784" s="8"/>
      <c r="R784" s="15"/>
    </row>
    <row r="785" ht="13.5" customHeight="1">
      <c r="B785" s="8"/>
      <c r="C785" s="8"/>
      <c r="G785" s="8"/>
      <c r="H785" s="8"/>
      <c r="I785" s="15"/>
      <c r="K785" s="20"/>
      <c r="L785" s="15"/>
      <c r="M785" s="17"/>
      <c r="N785" s="18"/>
      <c r="O785" s="19"/>
      <c r="P785" s="8"/>
      <c r="Q785" s="8"/>
      <c r="R785" s="15"/>
    </row>
    <row r="786" ht="13.5" customHeight="1">
      <c r="B786" s="8"/>
      <c r="C786" s="8"/>
      <c r="G786" s="8"/>
      <c r="H786" s="8"/>
      <c r="I786" s="15"/>
      <c r="K786" s="20"/>
      <c r="L786" s="15"/>
      <c r="M786" s="17"/>
      <c r="N786" s="18"/>
      <c r="O786" s="19"/>
      <c r="P786" s="8"/>
      <c r="Q786" s="8"/>
      <c r="R786" s="15"/>
    </row>
    <row r="787" ht="13.5" customHeight="1">
      <c r="B787" s="8"/>
      <c r="C787" s="8"/>
      <c r="G787" s="8"/>
      <c r="H787" s="8"/>
      <c r="I787" s="15"/>
      <c r="K787" s="20"/>
      <c r="L787" s="15"/>
      <c r="M787" s="17"/>
      <c r="N787" s="18"/>
      <c r="O787" s="19"/>
      <c r="P787" s="8"/>
      <c r="Q787" s="8"/>
      <c r="R787" s="15"/>
    </row>
    <row r="788" ht="13.5" customHeight="1">
      <c r="B788" s="8"/>
      <c r="C788" s="8"/>
      <c r="G788" s="8"/>
      <c r="H788" s="8"/>
      <c r="I788" s="15"/>
      <c r="K788" s="20"/>
      <c r="L788" s="15"/>
      <c r="M788" s="17"/>
      <c r="N788" s="18"/>
      <c r="O788" s="19"/>
      <c r="P788" s="8"/>
      <c r="Q788" s="8"/>
      <c r="R788" s="15"/>
    </row>
    <row r="789" ht="13.5" customHeight="1">
      <c r="B789" s="8"/>
      <c r="C789" s="8"/>
      <c r="G789" s="8"/>
      <c r="H789" s="8"/>
      <c r="I789" s="15"/>
      <c r="K789" s="20"/>
      <c r="L789" s="15"/>
      <c r="M789" s="17"/>
      <c r="N789" s="18"/>
      <c r="O789" s="19"/>
      <c r="P789" s="8"/>
      <c r="Q789" s="8"/>
      <c r="R789" s="15"/>
    </row>
    <row r="790" ht="13.5" customHeight="1">
      <c r="B790" s="8"/>
      <c r="C790" s="8"/>
      <c r="G790" s="8"/>
      <c r="H790" s="8"/>
      <c r="I790" s="15"/>
      <c r="K790" s="20"/>
      <c r="L790" s="15"/>
      <c r="M790" s="17"/>
      <c r="N790" s="18"/>
      <c r="O790" s="19"/>
      <c r="P790" s="8"/>
      <c r="Q790" s="8"/>
      <c r="R790" s="15"/>
    </row>
    <row r="791" ht="13.5" customHeight="1">
      <c r="B791" s="8"/>
      <c r="C791" s="8"/>
      <c r="G791" s="8"/>
      <c r="H791" s="8"/>
      <c r="I791" s="15"/>
      <c r="K791" s="20"/>
      <c r="L791" s="15"/>
      <c r="M791" s="17"/>
      <c r="N791" s="18"/>
      <c r="O791" s="19"/>
      <c r="P791" s="8"/>
      <c r="Q791" s="8"/>
      <c r="R791" s="15"/>
    </row>
    <row r="792" ht="13.5" customHeight="1">
      <c r="B792" s="8"/>
      <c r="C792" s="8"/>
      <c r="G792" s="8"/>
      <c r="H792" s="8"/>
      <c r="I792" s="15"/>
      <c r="K792" s="20"/>
      <c r="L792" s="15"/>
      <c r="M792" s="17"/>
      <c r="N792" s="18"/>
      <c r="O792" s="19"/>
      <c r="P792" s="8"/>
      <c r="Q792" s="8"/>
      <c r="R792" s="15"/>
    </row>
    <row r="793" ht="13.5" customHeight="1">
      <c r="B793" s="8"/>
      <c r="C793" s="8"/>
      <c r="G793" s="8"/>
      <c r="H793" s="8"/>
      <c r="I793" s="15"/>
      <c r="K793" s="20"/>
      <c r="L793" s="15"/>
      <c r="M793" s="17"/>
      <c r="N793" s="18"/>
      <c r="O793" s="19"/>
      <c r="P793" s="8"/>
      <c r="Q793" s="8"/>
      <c r="R793" s="15"/>
    </row>
    <row r="794" ht="13.5" customHeight="1">
      <c r="B794" s="8"/>
      <c r="C794" s="8"/>
      <c r="G794" s="8"/>
      <c r="H794" s="8"/>
      <c r="I794" s="15"/>
      <c r="K794" s="20"/>
      <c r="L794" s="15"/>
      <c r="M794" s="17"/>
      <c r="N794" s="18"/>
      <c r="O794" s="19"/>
      <c r="P794" s="8"/>
      <c r="Q794" s="8"/>
      <c r="R794" s="15"/>
    </row>
    <row r="795" ht="13.5" customHeight="1">
      <c r="B795" s="8"/>
      <c r="C795" s="8"/>
      <c r="G795" s="8"/>
      <c r="H795" s="8"/>
      <c r="I795" s="15"/>
      <c r="K795" s="20"/>
      <c r="L795" s="15"/>
      <c r="M795" s="17"/>
      <c r="N795" s="18"/>
      <c r="O795" s="19"/>
      <c r="P795" s="8"/>
      <c r="Q795" s="8"/>
      <c r="R795" s="15"/>
    </row>
    <row r="796" ht="13.5" customHeight="1">
      <c r="B796" s="8"/>
      <c r="C796" s="8"/>
      <c r="G796" s="8"/>
      <c r="H796" s="8"/>
      <c r="I796" s="15"/>
      <c r="K796" s="20"/>
      <c r="L796" s="15"/>
      <c r="M796" s="17"/>
      <c r="N796" s="18"/>
      <c r="O796" s="19"/>
      <c r="P796" s="8"/>
      <c r="Q796" s="8"/>
      <c r="R796" s="15"/>
    </row>
    <row r="797" ht="13.5" customHeight="1">
      <c r="B797" s="8"/>
      <c r="C797" s="8"/>
      <c r="G797" s="8"/>
      <c r="H797" s="8"/>
      <c r="I797" s="15"/>
      <c r="K797" s="20"/>
      <c r="L797" s="15"/>
      <c r="M797" s="17"/>
      <c r="N797" s="18"/>
      <c r="O797" s="19"/>
      <c r="P797" s="8"/>
      <c r="Q797" s="8"/>
      <c r="R797" s="15"/>
    </row>
    <row r="798" ht="13.5" customHeight="1">
      <c r="B798" s="8"/>
      <c r="C798" s="8"/>
      <c r="G798" s="8"/>
      <c r="H798" s="8"/>
      <c r="I798" s="15"/>
      <c r="K798" s="20"/>
      <c r="L798" s="15"/>
      <c r="M798" s="17"/>
      <c r="N798" s="18"/>
      <c r="O798" s="19"/>
      <c r="P798" s="8"/>
      <c r="Q798" s="8"/>
      <c r="R798" s="15"/>
    </row>
    <row r="799" ht="13.5" customHeight="1">
      <c r="B799" s="8"/>
      <c r="C799" s="8"/>
      <c r="G799" s="8"/>
      <c r="H799" s="8"/>
      <c r="I799" s="15"/>
      <c r="K799" s="20"/>
      <c r="L799" s="15"/>
      <c r="M799" s="17"/>
      <c r="N799" s="18"/>
      <c r="O799" s="19"/>
      <c r="P799" s="8"/>
      <c r="Q799" s="8"/>
      <c r="R799" s="15"/>
    </row>
    <row r="800" ht="13.5" customHeight="1">
      <c r="B800" s="8"/>
      <c r="C800" s="8"/>
      <c r="G800" s="8"/>
      <c r="H800" s="8"/>
      <c r="I800" s="15"/>
      <c r="K800" s="20"/>
      <c r="L800" s="15"/>
      <c r="M800" s="17"/>
      <c r="N800" s="18"/>
      <c r="O800" s="19"/>
      <c r="P800" s="8"/>
      <c r="Q800" s="8"/>
      <c r="R800" s="15"/>
    </row>
    <row r="801" ht="13.5" customHeight="1">
      <c r="B801" s="8"/>
      <c r="C801" s="8"/>
      <c r="G801" s="8"/>
      <c r="H801" s="8"/>
      <c r="I801" s="15"/>
      <c r="K801" s="20"/>
      <c r="L801" s="15"/>
      <c r="M801" s="17"/>
      <c r="N801" s="18"/>
      <c r="O801" s="19"/>
      <c r="P801" s="8"/>
      <c r="Q801" s="8"/>
      <c r="R801" s="15"/>
    </row>
    <row r="802" ht="13.5" customHeight="1">
      <c r="B802" s="8"/>
      <c r="C802" s="8"/>
      <c r="G802" s="8"/>
      <c r="H802" s="8"/>
      <c r="I802" s="15"/>
      <c r="K802" s="20"/>
      <c r="L802" s="15"/>
      <c r="M802" s="17"/>
      <c r="N802" s="18"/>
      <c r="O802" s="19"/>
      <c r="P802" s="8"/>
      <c r="Q802" s="8"/>
      <c r="R802" s="15"/>
    </row>
    <row r="803" ht="13.5" customHeight="1">
      <c r="B803" s="8"/>
      <c r="C803" s="8"/>
      <c r="G803" s="8"/>
      <c r="H803" s="8"/>
      <c r="I803" s="15"/>
      <c r="K803" s="20"/>
      <c r="L803" s="15"/>
      <c r="M803" s="17"/>
      <c r="N803" s="18"/>
      <c r="O803" s="19"/>
      <c r="P803" s="8"/>
      <c r="Q803" s="8"/>
      <c r="R803" s="15"/>
    </row>
    <row r="804" ht="13.5" customHeight="1">
      <c r="B804" s="8"/>
      <c r="C804" s="8"/>
      <c r="G804" s="8"/>
      <c r="H804" s="8"/>
      <c r="I804" s="15"/>
      <c r="K804" s="20"/>
      <c r="L804" s="15"/>
      <c r="M804" s="17"/>
      <c r="N804" s="18"/>
      <c r="O804" s="19"/>
      <c r="P804" s="8"/>
      <c r="Q804" s="8"/>
      <c r="R804" s="15"/>
    </row>
    <row r="805" ht="13.5" customHeight="1">
      <c r="B805" s="8"/>
      <c r="C805" s="8"/>
      <c r="G805" s="8"/>
      <c r="H805" s="8"/>
      <c r="I805" s="15"/>
      <c r="K805" s="20"/>
      <c r="L805" s="15"/>
      <c r="M805" s="17"/>
      <c r="N805" s="18"/>
      <c r="O805" s="19"/>
      <c r="P805" s="8"/>
      <c r="Q805" s="8"/>
      <c r="R805" s="15"/>
    </row>
    <row r="806" ht="13.5" customHeight="1">
      <c r="B806" s="8"/>
      <c r="C806" s="8"/>
      <c r="G806" s="8"/>
      <c r="H806" s="8"/>
      <c r="I806" s="15"/>
      <c r="K806" s="20"/>
      <c r="L806" s="15"/>
      <c r="M806" s="17"/>
      <c r="N806" s="18"/>
      <c r="O806" s="19"/>
      <c r="P806" s="8"/>
      <c r="Q806" s="8"/>
      <c r="R806" s="15"/>
    </row>
    <row r="807" ht="13.5" customHeight="1">
      <c r="B807" s="8"/>
      <c r="C807" s="8"/>
      <c r="G807" s="8"/>
      <c r="H807" s="8"/>
      <c r="I807" s="15"/>
      <c r="K807" s="20"/>
      <c r="L807" s="15"/>
      <c r="M807" s="17"/>
      <c r="N807" s="18"/>
      <c r="O807" s="19"/>
      <c r="P807" s="8"/>
      <c r="Q807" s="8"/>
      <c r="R807" s="15"/>
    </row>
    <row r="808" ht="13.5" customHeight="1">
      <c r="B808" s="8"/>
      <c r="C808" s="8"/>
      <c r="G808" s="8"/>
      <c r="H808" s="8"/>
      <c r="I808" s="15"/>
      <c r="K808" s="20"/>
      <c r="L808" s="15"/>
      <c r="M808" s="17"/>
      <c r="N808" s="18"/>
      <c r="O808" s="19"/>
      <c r="P808" s="8"/>
      <c r="Q808" s="8"/>
      <c r="R808" s="15"/>
    </row>
    <row r="809" ht="13.5" customHeight="1">
      <c r="B809" s="8"/>
      <c r="C809" s="8"/>
      <c r="G809" s="8"/>
      <c r="H809" s="8"/>
      <c r="I809" s="15"/>
      <c r="K809" s="20"/>
      <c r="L809" s="15"/>
      <c r="M809" s="17"/>
      <c r="N809" s="18"/>
      <c r="O809" s="19"/>
      <c r="P809" s="8"/>
      <c r="Q809" s="8"/>
      <c r="R809" s="15"/>
    </row>
    <row r="810" ht="13.5" customHeight="1">
      <c r="B810" s="8"/>
      <c r="C810" s="8"/>
      <c r="G810" s="8"/>
      <c r="H810" s="8"/>
      <c r="I810" s="15"/>
      <c r="K810" s="20"/>
      <c r="L810" s="15"/>
      <c r="M810" s="17"/>
      <c r="N810" s="18"/>
      <c r="O810" s="19"/>
      <c r="P810" s="8"/>
      <c r="Q810" s="8"/>
      <c r="R810" s="15"/>
    </row>
    <row r="811" ht="13.5" customHeight="1">
      <c r="B811" s="8"/>
      <c r="C811" s="8"/>
      <c r="G811" s="8"/>
      <c r="H811" s="8"/>
      <c r="I811" s="15"/>
      <c r="K811" s="20"/>
      <c r="L811" s="15"/>
      <c r="M811" s="17"/>
      <c r="N811" s="18"/>
      <c r="O811" s="19"/>
      <c r="P811" s="8"/>
      <c r="Q811" s="8"/>
      <c r="R811" s="15"/>
    </row>
    <row r="812" ht="13.5" customHeight="1">
      <c r="B812" s="8"/>
      <c r="C812" s="8"/>
      <c r="G812" s="8"/>
      <c r="H812" s="8"/>
      <c r="I812" s="15"/>
      <c r="K812" s="20"/>
      <c r="L812" s="15"/>
      <c r="M812" s="17"/>
      <c r="N812" s="18"/>
      <c r="O812" s="19"/>
      <c r="P812" s="8"/>
      <c r="Q812" s="8"/>
      <c r="R812" s="15"/>
    </row>
    <row r="813" ht="13.5" customHeight="1">
      <c r="B813" s="8"/>
      <c r="C813" s="8"/>
      <c r="G813" s="8"/>
      <c r="H813" s="8"/>
      <c r="I813" s="15"/>
      <c r="K813" s="20"/>
      <c r="L813" s="15"/>
      <c r="M813" s="17"/>
      <c r="N813" s="18"/>
      <c r="O813" s="19"/>
      <c r="P813" s="8"/>
      <c r="Q813" s="8"/>
      <c r="R813" s="15"/>
    </row>
    <row r="814" ht="13.5" customHeight="1">
      <c r="B814" s="8"/>
      <c r="C814" s="8"/>
      <c r="G814" s="8"/>
      <c r="H814" s="8"/>
      <c r="I814" s="15"/>
      <c r="K814" s="20"/>
      <c r="L814" s="15"/>
      <c r="M814" s="17"/>
      <c r="N814" s="18"/>
      <c r="O814" s="19"/>
      <c r="P814" s="8"/>
      <c r="Q814" s="8"/>
      <c r="R814" s="15"/>
    </row>
    <row r="815" ht="13.5" customHeight="1">
      <c r="B815" s="8"/>
      <c r="C815" s="8"/>
      <c r="G815" s="8"/>
      <c r="H815" s="8"/>
      <c r="I815" s="15"/>
      <c r="K815" s="20"/>
      <c r="L815" s="15"/>
      <c r="M815" s="17"/>
      <c r="N815" s="18"/>
      <c r="O815" s="19"/>
      <c r="P815" s="8"/>
      <c r="Q815" s="8"/>
      <c r="R815" s="15"/>
    </row>
    <row r="816" ht="13.5" customHeight="1">
      <c r="B816" s="8"/>
      <c r="C816" s="8"/>
      <c r="G816" s="8"/>
      <c r="H816" s="8"/>
      <c r="I816" s="15"/>
      <c r="K816" s="20"/>
      <c r="L816" s="15"/>
      <c r="M816" s="17"/>
      <c r="N816" s="18"/>
      <c r="O816" s="19"/>
      <c r="P816" s="8"/>
      <c r="Q816" s="8"/>
      <c r="R816" s="15"/>
    </row>
    <row r="817" ht="13.5" customHeight="1">
      <c r="B817" s="8"/>
      <c r="C817" s="8"/>
      <c r="G817" s="8"/>
      <c r="H817" s="8"/>
      <c r="I817" s="15"/>
      <c r="K817" s="20"/>
      <c r="L817" s="15"/>
      <c r="M817" s="17"/>
      <c r="N817" s="18"/>
      <c r="O817" s="19"/>
      <c r="P817" s="8"/>
      <c r="Q817" s="8"/>
      <c r="R817" s="15"/>
    </row>
    <row r="818" ht="13.5" customHeight="1">
      <c r="B818" s="8"/>
      <c r="C818" s="8"/>
      <c r="G818" s="8"/>
      <c r="H818" s="8"/>
      <c r="I818" s="15"/>
      <c r="K818" s="20"/>
      <c r="L818" s="15"/>
      <c r="M818" s="17"/>
      <c r="N818" s="18"/>
      <c r="O818" s="19"/>
      <c r="P818" s="8"/>
      <c r="Q818" s="8"/>
      <c r="R818" s="15"/>
    </row>
    <row r="819" ht="13.5" customHeight="1">
      <c r="B819" s="8"/>
      <c r="C819" s="8"/>
      <c r="G819" s="8"/>
      <c r="H819" s="8"/>
      <c r="I819" s="15"/>
      <c r="K819" s="20"/>
      <c r="L819" s="15"/>
      <c r="M819" s="17"/>
      <c r="N819" s="18"/>
      <c r="O819" s="19"/>
      <c r="P819" s="8"/>
      <c r="Q819" s="8"/>
      <c r="R819" s="15"/>
    </row>
    <row r="820" ht="13.5" customHeight="1">
      <c r="B820" s="8"/>
      <c r="C820" s="8"/>
      <c r="G820" s="8"/>
      <c r="H820" s="8"/>
      <c r="I820" s="15"/>
      <c r="K820" s="20"/>
      <c r="L820" s="15"/>
      <c r="M820" s="17"/>
      <c r="N820" s="18"/>
      <c r="O820" s="19"/>
      <c r="P820" s="8"/>
      <c r="Q820" s="8"/>
      <c r="R820" s="15"/>
    </row>
    <row r="821" ht="13.5" customHeight="1">
      <c r="B821" s="8"/>
      <c r="C821" s="8"/>
      <c r="G821" s="8"/>
      <c r="H821" s="8"/>
      <c r="I821" s="15"/>
      <c r="K821" s="20"/>
      <c r="L821" s="15"/>
      <c r="M821" s="17"/>
      <c r="N821" s="18"/>
      <c r="O821" s="19"/>
      <c r="P821" s="8"/>
      <c r="Q821" s="8"/>
      <c r="R821" s="15"/>
    </row>
    <row r="822" ht="13.5" customHeight="1">
      <c r="B822" s="8"/>
      <c r="C822" s="8"/>
      <c r="G822" s="8"/>
      <c r="H822" s="8"/>
      <c r="I822" s="15"/>
      <c r="K822" s="20"/>
      <c r="L822" s="15"/>
      <c r="M822" s="17"/>
      <c r="N822" s="18"/>
      <c r="O822" s="19"/>
      <c r="P822" s="8"/>
      <c r="Q822" s="8"/>
      <c r="R822" s="15"/>
    </row>
    <row r="823" ht="13.5" customHeight="1">
      <c r="B823" s="8"/>
      <c r="C823" s="8"/>
      <c r="G823" s="8"/>
      <c r="H823" s="8"/>
      <c r="I823" s="15"/>
      <c r="K823" s="20"/>
      <c r="L823" s="15"/>
      <c r="M823" s="17"/>
      <c r="N823" s="18"/>
      <c r="O823" s="19"/>
      <c r="P823" s="8"/>
      <c r="Q823" s="8"/>
      <c r="R823" s="15"/>
    </row>
    <row r="824" ht="13.5" customHeight="1">
      <c r="B824" s="8"/>
      <c r="C824" s="8"/>
      <c r="G824" s="8"/>
      <c r="H824" s="8"/>
      <c r="I824" s="15"/>
      <c r="K824" s="20"/>
      <c r="L824" s="15"/>
      <c r="M824" s="17"/>
      <c r="N824" s="18"/>
      <c r="O824" s="19"/>
      <c r="P824" s="8"/>
      <c r="Q824" s="8"/>
      <c r="R824" s="15"/>
    </row>
    <row r="825" ht="13.5" customHeight="1">
      <c r="B825" s="8"/>
      <c r="C825" s="8"/>
      <c r="G825" s="8"/>
      <c r="H825" s="8"/>
      <c r="I825" s="15"/>
      <c r="K825" s="20"/>
      <c r="L825" s="15"/>
      <c r="M825" s="17"/>
      <c r="N825" s="18"/>
      <c r="O825" s="19"/>
      <c r="P825" s="8"/>
      <c r="Q825" s="8"/>
      <c r="R825" s="15"/>
    </row>
    <row r="826" ht="13.5" customHeight="1">
      <c r="B826" s="8"/>
      <c r="C826" s="8"/>
      <c r="G826" s="8"/>
      <c r="H826" s="8"/>
      <c r="I826" s="15"/>
      <c r="K826" s="20"/>
      <c r="L826" s="15"/>
      <c r="M826" s="17"/>
      <c r="N826" s="18"/>
      <c r="O826" s="19"/>
      <c r="P826" s="8"/>
      <c r="Q826" s="8"/>
      <c r="R826" s="15"/>
    </row>
    <row r="827" ht="13.5" customHeight="1">
      <c r="B827" s="8"/>
      <c r="C827" s="8"/>
      <c r="G827" s="8"/>
      <c r="H827" s="8"/>
      <c r="I827" s="15"/>
      <c r="K827" s="20"/>
      <c r="L827" s="15"/>
      <c r="M827" s="17"/>
      <c r="N827" s="18"/>
      <c r="O827" s="19"/>
      <c r="P827" s="8"/>
      <c r="Q827" s="8"/>
      <c r="R827" s="15"/>
    </row>
    <row r="828" ht="13.5" customHeight="1">
      <c r="B828" s="8"/>
      <c r="C828" s="8"/>
      <c r="G828" s="8"/>
      <c r="H828" s="8"/>
      <c r="I828" s="15"/>
      <c r="K828" s="20"/>
      <c r="L828" s="15"/>
      <c r="M828" s="17"/>
      <c r="N828" s="18"/>
      <c r="O828" s="19"/>
      <c r="P828" s="8"/>
      <c r="Q828" s="8"/>
      <c r="R828" s="15"/>
    </row>
    <row r="829" ht="13.5" customHeight="1">
      <c r="B829" s="8"/>
      <c r="C829" s="8"/>
      <c r="G829" s="8"/>
      <c r="H829" s="8"/>
      <c r="I829" s="15"/>
      <c r="K829" s="20"/>
      <c r="L829" s="15"/>
      <c r="M829" s="17"/>
      <c r="N829" s="18"/>
      <c r="O829" s="19"/>
      <c r="P829" s="8"/>
      <c r="Q829" s="8"/>
      <c r="R829" s="15"/>
    </row>
    <row r="830" ht="13.5" customHeight="1">
      <c r="B830" s="8"/>
      <c r="C830" s="8"/>
      <c r="G830" s="8"/>
      <c r="H830" s="8"/>
      <c r="I830" s="15"/>
      <c r="K830" s="20"/>
      <c r="L830" s="15"/>
      <c r="M830" s="17"/>
      <c r="N830" s="18"/>
      <c r="O830" s="19"/>
      <c r="P830" s="8"/>
      <c r="Q830" s="8"/>
      <c r="R830" s="15"/>
    </row>
    <row r="831" ht="13.5" customHeight="1">
      <c r="B831" s="8"/>
      <c r="C831" s="8"/>
      <c r="G831" s="8"/>
      <c r="H831" s="8"/>
      <c r="I831" s="15"/>
      <c r="K831" s="20"/>
      <c r="L831" s="15"/>
      <c r="M831" s="17"/>
      <c r="N831" s="18"/>
      <c r="O831" s="19"/>
      <c r="P831" s="8"/>
      <c r="Q831" s="8"/>
      <c r="R831" s="15"/>
    </row>
    <row r="832" ht="13.5" customHeight="1">
      <c r="B832" s="8"/>
      <c r="C832" s="8"/>
      <c r="G832" s="8"/>
      <c r="H832" s="8"/>
      <c r="I832" s="15"/>
      <c r="K832" s="20"/>
      <c r="L832" s="15"/>
      <c r="M832" s="17"/>
      <c r="N832" s="18"/>
      <c r="O832" s="19"/>
      <c r="P832" s="8"/>
      <c r="Q832" s="8"/>
      <c r="R832" s="15"/>
    </row>
    <row r="833" ht="13.5" customHeight="1">
      <c r="B833" s="8"/>
      <c r="C833" s="8"/>
      <c r="G833" s="8"/>
      <c r="H833" s="8"/>
      <c r="I833" s="15"/>
      <c r="K833" s="20"/>
      <c r="L833" s="15"/>
      <c r="M833" s="17"/>
      <c r="N833" s="18"/>
      <c r="O833" s="19"/>
      <c r="P833" s="8"/>
      <c r="Q833" s="8"/>
      <c r="R833" s="15"/>
    </row>
    <row r="834" ht="13.5" customHeight="1">
      <c r="B834" s="8"/>
      <c r="C834" s="8"/>
      <c r="G834" s="8"/>
      <c r="H834" s="8"/>
      <c r="I834" s="15"/>
      <c r="K834" s="20"/>
      <c r="L834" s="15"/>
      <c r="M834" s="17"/>
      <c r="N834" s="18"/>
      <c r="O834" s="19"/>
      <c r="P834" s="8"/>
      <c r="Q834" s="8"/>
      <c r="R834" s="15"/>
    </row>
    <row r="835" ht="13.5" customHeight="1">
      <c r="B835" s="8"/>
      <c r="C835" s="8"/>
      <c r="G835" s="8"/>
      <c r="H835" s="8"/>
      <c r="I835" s="15"/>
      <c r="K835" s="20"/>
      <c r="L835" s="15"/>
      <c r="M835" s="17"/>
      <c r="N835" s="18"/>
      <c r="O835" s="19"/>
      <c r="P835" s="8"/>
      <c r="Q835" s="8"/>
      <c r="R835" s="15"/>
    </row>
    <row r="836" ht="13.5" customHeight="1">
      <c r="B836" s="8"/>
      <c r="C836" s="8"/>
      <c r="G836" s="8"/>
      <c r="H836" s="8"/>
      <c r="I836" s="15"/>
      <c r="K836" s="20"/>
      <c r="L836" s="15"/>
      <c r="M836" s="17"/>
      <c r="N836" s="18"/>
      <c r="O836" s="19"/>
      <c r="P836" s="8"/>
      <c r="Q836" s="8"/>
      <c r="R836" s="15"/>
    </row>
    <row r="837" ht="13.5" customHeight="1">
      <c r="B837" s="8"/>
      <c r="C837" s="8"/>
      <c r="G837" s="8"/>
      <c r="H837" s="8"/>
      <c r="I837" s="15"/>
      <c r="K837" s="20"/>
      <c r="L837" s="15"/>
      <c r="M837" s="17"/>
      <c r="N837" s="18"/>
      <c r="O837" s="19"/>
      <c r="P837" s="8"/>
      <c r="Q837" s="8"/>
      <c r="R837" s="15"/>
    </row>
    <row r="838" ht="13.5" customHeight="1">
      <c r="B838" s="8"/>
      <c r="C838" s="8"/>
      <c r="G838" s="8"/>
      <c r="H838" s="8"/>
      <c r="I838" s="15"/>
      <c r="K838" s="20"/>
      <c r="L838" s="15"/>
      <c r="M838" s="17"/>
      <c r="N838" s="18"/>
      <c r="O838" s="19"/>
      <c r="P838" s="8"/>
      <c r="Q838" s="8"/>
      <c r="R838" s="15"/>
    </row>
    <row r="839" ht="13.5" customHeight="1">
      <c r="B839" s="8"/>
      <c r="C839" s="8"/>
      <c r="G839" s="8"/>
      <c r="H839" s="8"/>
      <c r="I839" s="15"/>
      <c r="K839" s="20"/>
      <c r="L839" s="15"/>
      <c r="M839" s="17"/>
      <c r="N839" s="18"/>
      <c r="O839" s="19"/>
      <c r="P839" s="8"/>
      <c r="Q839" s="8"/>
      <c r="R839" s="15"/>
    </row>
    <row r="840" ht="13.5" customHeight="1">
      <c r="B840" s="8"/>
      <c r="C840" s="8"/>
      <c r="G840" s="8"/>
      <c r="H840" s="8"/>
      <c r="I840" s="15"/>
      <c r="K840" s="20"/>
      <c r="L840" s="15"/>
      <c r="M840" s="17"/>
      <c r="N840" s="18"/>
      <c r="O840" s="19"/>
      <c r="P840" s="8"/>
      <c r="Q840" s="8"/>
      <c r="R840" s="15"/>
    </row>
    <row r="841" ht="13.5" customHeight="1">
      <c r="B841" s="8"/>
      <c r="C841" s="8"/>
      <c r="G841" s="8"/>
      <c r="H841" s="8"/>
      <c r="I841" s="15"/>
      <c r="K841" s="20"/>
      <c r="L841" s="15"/>
      <c r="M841" s="17"/>
      <c r="N841" s="18"/>
      <c r="O841" s="19"/>
      <c r="P841" s="8"/>
      <c r="Q841" s="8"/>
      <c r="R841" s="15"/>
    </row>
    <row r="842" ht="13.5" customHeight="1">
      <c r="B842" s="8"/>
      <c r="C842" s="8"/>
      <c r="G842" s="8"/>
      <c r="H842" s="8"/>
      <c r="I842" s="15"/>
      <c r="K842" s="20"/>
      <c r="L842" s="15"/>
      <c r="M842" s="17"/>
      <c r="N842" s="18"/>
      <c r="O842" s="19"/>
      <c r="P842" s="8"/>
      <c r="Q842" s="8"/>
      <c r="R842" s="15"/>
    </row>
    <row r="843" ht="13.5" customHeight="1">
      <c r="B843" s="8"/>
      <c r="C843" s="8"/>
      <c r="G843" s="8"/>
      <c r="H843" s="8"/>
      <c r="I843" s="15"/>
      <c r="K843" s="20"/>
      <c r="L843" s="15"/>
      <c r="M843" s="17"/>
      <c r="N843" s="18"/>
      <c r="O843" s="19"/>
      <c r="P843" s="8"/>
      <c r="Q843" s="8"/>
      <c r="R843" s="15"/>
    </row>
    <row r="844" ht="13.5" customHeight="1">
      <c r="B844" s="8"/>
      <c r="C844" s="8"/>
      <c r="G844" s="8"/>
      <c r="H844" s="8"/>
      <c r="I844" s="15"/>
      <c r="K844" s="20"/>
      <c r="L844" s="15"/>
      <c r="M844" s="17"/>
      <c r="N844" s="18"/>
      <c r="O844" s="19"/>
      <c r="P844" s="8"/>
      <c r="Q844" s="8"/>
      <c r="R844" s="15"/>
    </row>
    <row r="845" ht="13.5" customHeight="1">
      <c r="B845" s="8"/>
      <c r="C845" s="8"/>
      <c r="G845" s="8"/>
      <c r="H845" s="8"/>
      <c r="I845" s="15"/>
      <c r="K845" s="20"/>
      <c r="L845" s="15"/>
      <c r="M845" s="17"/>
      <c r="N845" s="18"/>
      <c r="O845" s="19"/>
      <c r="P845" s="8"/>
      <c r="Q845" s="8"/>
      <c r="R845" s="15"/>
    </row>
    <row r="846" ht="13.5" customHeight="1">
      <c r="B846" s="8"/>
      <c r="C846" s="8"/>
      <c r="G846" s="8"/>
      <c r="H846" s="8"/>
      <c r="I846" s="15"/>
      <c r="K846" s="20"/>
      <c r="L846" s="15"/>
      <c r="M846" s="17"/>
      <c r="N846" s="18"/>
      <c r="O846" s="19"/>
      <c r="P846" s="8"/>
      <c r="Q846" s="8"/>
      <c r="R846" s="15"/>
    </row>
    <row r="847" ht="13.5" customHeight="1">
      <c r="B847" s="8"/>
      <c r="C847" s="8"/>
      <c r="G847" s="8"/>
      <c r="H847" s="8"/>
      <c r="I847" s="15"/>
      <c r="K847" s="20"/>
      <c r="L847" s="15"/>
      <c r="M847" s="17"/>
      <c r="N847" s="18"/>
      <c r="O847" s="19"/>
      <c r="P847" s="8"/>
      <c r="Q847" s="8"/>
      <c r="R847" s="15"/>
    </row>
    <row r="848" ht="13.5" customHeight="1">
      <c r="B848" s="8"/>
      <c r="C848" s="8"/>
      <c r="G848" s="8"/>
      <c r="H848" s="8"/>
      <c r="I848" s="15"/>
      <c r="K848" s="20"/>
      <c r="L848" s="15"/>
      <c r="M848" s="17"/>
      <c r="N848" s="18"/>
      <c r="O848" s="19"/>
      <c r="P848" s="8"/>
      <c r="Q848" s="8"/>
      <c r="R848" s="15"/>
    </row>
    <row r="849" ht="13.5" customHeight="1">
      <c r="B849" s="8"/>
      <c r="C849" s="8"/>
      <c r="G849" s="8"/>
      <c r="H849" s="8"/>
      <c r="I849" s="15"/>
      <c r="K849" s="20"/>
      <c r="L849" s="15"/>
      <c r="M849" s="17"/>
      <c r="N849" s="18"/>
      <c r="O849" s="19"/>
      <c r="P849" s="8"/>
      <c r="Q849" s="8"/>
      <c r="R849" s="15"/>
    </row>
    <row r="850" ht="13.5" customHeight="1">
      <c r="B850" s="8"/>
      <c r="C850" s="8"/>
      <c r="G850" s="8"/>
      <c r="H850" s="8"/>
      <c r="I850" s="15"/>
      <c r="K850" s="20"/>
      <c r="L850" s="15"/>
      <c r="M850" s="17"/>
      <c r="N850" s="18"/>
      <c r="O850" s="19"/>
      <c r="P850" s="8"/>
      <c r="Q850" s="8"/>
      <c r="R850" s="15"/>
    </row>
    <row r="851" ht="13.5" customHeight="1">
      <c r="B851" s="8"/>
      <c r="C851" s="8"/>
      <c r="G851" s="8"/>
      <c r="H851" s="8"/>
      <c r="I851" s="15"/>
      <c r="K851" s="20"/>
      <c r="L851" s="15"/>
      <c r="M851" s="17"/>
      <c r="N851" s="18"/>
      <c r="O851" s="19"/>
      <c r="P851" s="8"/>
      <c r="Q851" s="8"/>
      <c r="R851" s="15"/>
    </row>
    <row r="852" ht="13.5" customHeight="1">
      <c r="B852" s="8"/>
      <c r="C852" s="8"/>
      <c r="G852" s="8"/>
      <c r="H852" s="8"/>
      <c r="I852" s="15"/>
      <c r="K852" s="20"/>
      <c r="L852" s="15"/>
      <c r="M852" s="17"/>
      <c r="N852" s="18"/>
      <c r="O852" s="19"/>
      <c r="P852" s="8"/>
      <c r="Q852" s="8"/>
      <c r="R852" s="15"/>
    </row>
    <row r="853" ht="13.5" customHeight="1">
      <c r="B853" s="8"/>
      <c r="C853" s="8"/>
      <c r="G853" s="8"/>
      <c r="H853" s="8"/>
      <c r="I853" s="15"/>
      <c r="K853" s="20"/>
      <c r="L853" s="15"/>
      <c r="M853" s="17"/>
      <c r="N853" s="18"/>
      <c r="O853" s="19"/>
      <c r="P853" s="8"/>
      <c r="Q853" s="8"/>
      <c r="R853" s="15"/>
    </row>
    <row r="854" ht="13.5" customHeight="1">
      <c r="B854" s="8"/>
      <c r="C854" s="8"/>
      <c r="G854" s="8"/>
      <c r="H854" s="8"/>
      <c r="I854" s="15"/>
      <c r="K854" s="20"/>
      <c r="L854" s="15"/>
      <c r="M854" s="17"/>
      <c r="N854" s="18"/>
      <c r="O854" s="19"/>
      <c r="P854" s="8"/>
      <c r="Q854" s="8"/>
      <c r="R854" s="15"/>
    </row>
    <row r="855" ht="13.5" customHeight="1">
      <c r="B855" s="8"/>
      <c r="C855" s="8"/>
      <c r="G855" s="8"/>
      <c r="H855" s="8"/>
      <c r="I855" s="15"/>
      <c r="K855" s="20"/>
      <c r="L855" s="15"/>
      <c r="M855" s="17"/>
      <c r="N855" s="18"/>
      <c r="O855" s="19"/>
      <c r="P855" s="8"/>
      <c r="Q855" s="8"/>
      <c r="R855" s="15"/>
    </row>
    <row r="856" ht="13.5" customHeight="1">
      <c r="B856" s="8"/>
      <c r="C856" s="8"/>
      <c r="G856" s="8"/>
      <c r="H856" s="8"/>
      <c r="I856" s="15"/>
      <c r="K856" s="20"/>
      <c r="L856" s="15"/>
      <c r="M856" s="17"/>
      <c r="N856" s="18"/>
      <c r="O856" s="19"/>
      <c r="P856" s="8"/>
      <c r="Q856" s="8"/>
      <c r="R856" s="15"/>
    </row>
    <row r="857" ht="13.5" customHeight="1">
      <c r="B857" s="8"/>
      <c r="C857" s="8"/>
      <c r="G857" s="8"/>
      <c r="H857" s="8"/>
      <c r="I857" s="15"/>
      <c r="K857" s="20"/>
      <c r="L857" s="15"/>
      <c r="M857" s="17"/>
      <c r="N857" s="18"/>
      <c r="O857" s="19"/>
      <c r="P857" s="8"/>
      <c r="Q857" s="8"/>
      <c r="R857" s="15"/>
    </row>
    <row r="858" ht="13.5" customHeight="1">
      <c r="B858" s="8"/>
      <c r="C858" s="8"/>
      <c r="G858" s="8"/>
      <c r="H858" s="8"/>
      <c r="I858" s="15"/>
      <c r="K858" s="20"/>
      <c r="L858" s="15"/>
      <c r="M858" s="17"/>
      <c r="N858" s="18"/>
      <c r="O858" s="19"/>
      <c r="P858" s="8"/>
      <c r="Q858" s="8"/>
      <c r="R858" s="15"/>
    </row>
    <row r="859" ht="13.5" customHeight="1">
      <c r="B859" s="8"/>
      <c r="C859" s="8"/>
      <c r="G859" s="8"/>
      <c r="H859" s="8"/>
      <c r="I859" s="15"/>
      <c r="K859" s="20"/>
      <c r="L859" s="15"/>
      <c r="M859" s="17"/>
      <c r="N859" s="18"/>
      <c r="O859" s="19"/>
      <c r="P859" s="8"/>
      <c r="Q859" s="8"/>
      <c r="R859" s="15"/>
    </row>
    <row r="860" ht="13.5" customHeight="1">
      <c r="B860" s="8"/>
      <c r="C860" s="8"/>
      <c r="G860" s="8"/>
      <c r="H860" s="8"/>
      <c r="I860" s="15"/>
      <c r="K860" s="20"/>
      <c r="L860" s="15"/>
      <c r="M860" s="17"/>
      <c r="N860" s="18"/>
      <c r="O860" s="19"/>
      <c r="P860" s="8"/>
      <c r="Q860" s="8"/>
      <c r="R860" s="15"/>
    </row>
    <row r="861" ht="13.5" customHeight="1">
      <c r="B861" s="8"/>
      <c r="C861" s="8"/>
      <c r="G861" s="8"/>
      <c r="H861" s="8"/>
      <c r="I861" s="15"/>
      <c r="K861" s="20"/>
      <c r="L861" s="15"/>
      <c r="M861" s="17"/>
      <c r="N861" s="18"/>
      <c r="O861" s="19"/>
      <c r="P861" s="8"/>
      <c r="Q861" s="8"/>
      <c r="R861" s="15"/>
    </row>
    <row r="862" ht="13.5" customHeight="1">
      <c r="B862" s="8"/>
      <c r="C862" s="8"/>
      <c r="G862" s="8"/>
      <c r="H862" s="8"/>
      <c r="I862" s="15"/>
      <c r="K862" s="20"/>
      <c r="L862" s="15"/>
      <c r="M862" s="17"/>
      <c r="N862" s="18"/>
      <c r="O862" s="19"/>
      <c r="P862" s="8"/>
      <c r="Q862" s="8"/>
      <c r="R862" s="15"/>
    </row>
    <row r="863" ht="13.5" customHeight="1">
      <c r="B863" s="8"/>
      <c r="C863" s="8"/>
      <c r="G863" s="8"/>
      <c r="H863" s="8"/>
      <c r="I863" s="15"/>
      <c r="K863" s="20"/>
      <c r="L863" s="15"/>
      <c r="M863" s="17"/>
      <c r="N863" s="18"/>
      <c r="O863" s="19"/>
      <c r="P863" s="8"/>
      <c r="Q863" s="8"/>
      <c r="R863" s="15"/>
    </row>
    <row r="864" ht="13.5" customHeight="1">
      <c r="B864" s="8"/>
      <c r="C864" s="8"/>
      <c r="G864" s="8"/>
      <c r="H864" s="8"/>
      <c r="I864" s="15"/>
      <c r="K864" s="20"/>
      <c r="L864" s="15"/>
      <c r="M864" s="17"/>
      <c r="N864" s="18"/>
      <c r="O864" s="19"/>
      <c r="P864" s="8"/>
      <c r="Q864" s="8"/>
      <c r="R864" s="15"/>
    </row>
    <row r="865" ht="13.5" customHeight="1">
      <c r="B865" s="8"/>
      <c r="C865" s="8"/>
      <c r="G865" s="8"/>
      <c r="H865" s="8"/>
      <c r="I865" s="15"/>
      <c r="K865" s="20"/>
      <c r="L865" s="15"/>
      <c r="M865" s="17"/>
      <c r="N865" s="18"/>
      <c r="O865" s="19"/>
      <c r="P865" s="8"/>
      <c r="Q865" s="8"/>
      <c r="R865" s="15"/>
    </row>
    <row r="866" ht="13.5" customHeight="1">
      <c r="B866" s="8"/>
      <c r="C866" s="8"/>
      <c r="G866" s="8"/>
      <c r="H866" s="8"/>
      <c r="I866" s="15"/>
      <c r="K866" s="20"/>
      <c r="L866" s="15"/>
      <c r="M866" s="17"/>
      <c r="N866" s="18"/>
      <c r="O866" s="19"/>
      <c r="P866" s="8"/>
      <c r="Q866" s="8"/>
      <c r="R866" s="15"/>
    </row>
    <row r="867" ht="13.5" customHeight="1">
      <c r="B867" s="8"/>
      <c r="C867" s="8"/>
      <c r="G867" s="8"/>
      <c r="H867" s="8"/>
      <c r="I867" s="15"/>
      <c r="K867" s="20"/>
      <c r="L867" s="15"/>
      <c r="M867" s="17"/>
      <c r="N867" s="18"/>
      <c r="O867" s="19"/>
      <c r="P867" s="8"/>
      <c r="Q867" s="8"/>
      <c r="R867" s="15"/>
    </row>
    <row r="868" ht="13.5" customHeight="1">
      <c r="B868" s="8"/>
      <c r="C868" s="8"/>
      <c r="G868" s="8"/>
      <c r="H868" s="8"/>
      <c r="I868" s="15"/>
      <c r="K868" s="20"/>
      <c r="L868" s="15"/>
      <c r="M868" s="17"/>
      <c r="N868" s="18"/>
      <c r="O868" s="19"/>
      <c r="P868" s="8"/>
      <c r="Q868" s="8"/>
      <c r="R868" s="15"/>
    </row>
    <row r="869" ht="13.5" customHeight="1">
      <c r="B869" s="8"/>
      <c r="C869" s="8"/>
      <c r="G869" s="8"/>
      <c r="H869" s="8"/>
      <c r="I869" s="15"/>
      <c r="K869" s="20"/>
      <c r="L869" s="15"/>
      <c r="M869" s="17"/>
      <c r="N869" s="18"/>
      <c r="O869" s="19"/>
      <c r="P869" s="8"/>
      <c r="Q869" s="8"/>
      <c r="R869" s="15"/>
    </row>
    <row r="870" ht="13.5" customHeight="1">
      <c r="B870" s="8"/>
      <c r="C870" s="8"/>
      <c r="G870" s="8"/>
      <c r="H870" s="8"/>
      <c r="I870" s="15"/>
      <c r="K870" s="20"/>
      <c r="L870" s="15"/>
      <c r="M870" s="17"/>
      <c r="N870" s="18"/>
      <c r="O870" s="19"/>
      <c r="P870" s="8"/>
      <c r="Q870" s="8"/>
      <c r="R870" s="15"/>
    </row>
    <row r="871" ht="13.5" customHeight="1">
      <c r="B871" s="8"/>
      <c r="C871" s="8"/>
      <c r="G871" s="8"/>
      <c r="H871" s="8"/>
      <c r="I871" s="15"/>
      <c r="K871" s="20"/>
      <c r="L871" s="15"/>
      <c r="M871" s="17"/>
      <c r="N871" s="18"/>
      <c r="O871" s="19"/>
      <c r="P871" s="8"/>
      <c r="Q871" s="8"/>
      <c r="R871" s="15"/>
    </row>
    <row r="872" ht="13.5" customHeight="1">
      <c r="B872" s="8"/>
      <c r="C872" s="8"/>
      <c r="G872" s="8"/>
      <c r="H872" s="8"/>
      <c r="I872" s="15"/>
      <c r="K872" s="20"/>
      <c r="L872" s="15"/>
      <c r="M872" s="17"/>
      <c r="N872" s="18"/>
      <c r="O872" s="19"/>
      <c r="P872" s="8"/>
      <c r="Q872" s="8"/>
      <c r="R872" s="15"/>
    </row>
    <row r="873" ht="13.5" customHeight="1">
      <c r="B873" s="8"/>
      <c r="C873" s="8"/>
      <c r="G873" s="8"/>
      <c r="H873" s="8"/>
      <c r="I873" s="15"/>
      <c r="K873" s="20"/>
      <c r="L873" s="15"/>
      <c r="M873" s="17"/>
      <c r="N873" s="18"/>
      <c r="O873" s="19"/>
      <c r="P873" s="8"/>
      <c r="Q873" s="8"/>
      <c r="R873" s="15"/>
    </row>
    <row r="874" ht="13.5" customHeight="1">
      <c r="B874" s="8"/>
      <c r="C874" s="8"/>
      <c r="G874" s="8"/>
      <c r="H874" s="8"/>
      <c r="I874" s="15"/>
      <c r="K874" s="20"/>
      <c r="L874" s="15"/>
      <c r="M874" s="17"/>
      <c r="N874" s="18"/>
      <c r="O874" s="19"/>
      <c r="P874" s="8"/>
      <c r="Q874" s="8"/>
      <c r="R874" s="15"/>
    </row>
    <row r="875" ht="13.5" customHeight="1">
      <c r="B875" s="8"/>
      <c r="C875" s="8"/>
      <c r="G875" s="8"/>
      <c r="H875" s="8"/>
      <c r="I875" s="15"/>
      <c r="K875" s="20"/>
      <c r="L875" s="15"/>
      <c r="M875" s="17"/>
      <c r="N875" s="18"/>
      <c r="O875" s="19"/>
      <c r="P875" s="8"/>
      <c r="Q875" s="8"/>
      <c r="R875" s="15"/>
    </row>
    <row r="876" ht="13.5" customHeight="1">
      <c r="B876" s="8"/>
      <c r="C876" s="8"/>
      <c r="G876" s="8"/>
      <c r="H876" s="8"/>
      <c r="I876" s="15"/>
      <c r="K876" s="20"/>
      <c r="L876" s="15"/>
      <c r="M876" s="17"/>
      <c r="N876" s="18"/>
      <c r="O876" s="19"/>
      <c r="P876" s="8"/>
      <c r="Q876" s="8"/>
      <c r="R876" s="15"/>
    </row>
    <row r="877" ht="13.5" customHeight="1">
      <c r="B877" s="8"/>
      <c r="C877" s="8"/>
      <c r="G877" s="8"/>
      <c r="H877" s="8"/>
      <c r="I877" s="15"/>
      <c r="K877" s="20"/>
      <c r="L877" s="15"/>
      <c r="M877" s="17"/>
      <c r="N877" s="18"/>
      <c r="O877" s="19"/>
      <c r="P877" s="8"/>
      <c r="Q877" s="8"/>
      <c r="R877" s="15"/>
    </row>
    <row r="878" ht="13.5" customHeight="1">
      <c r="B878" s="8"/>
      <c r="C878" s="8"/>
      <c r="G878" s="8"/>
      <c r="H878" s="8"/>
      <c r="I878" s="15"/>
      <c r="K878" s="20"/>
      <c r="L878" s="15"/>
      <c r="M878" s="17"/>
      <c r="N878" s="18"/>
      <c r="O878" s="19"/>
      <c r="P878" s="8"/>
      <c r="Q878" s="8"/>
      <c r="R878" s="15"/>
    </row>
    <row r="879" ht="13.5" customHeight="1">
      <c r="B879" s="8"/>
      <c r="C879" s="8"/>
      <c r="G879" s="8"/>
      <c r="H879" s="8"/>
      <c r="I879" s="15"/>
      <c r="K879" s="20"/>
      <c r="L879" s="15"/>
      <c r="M879" s="17"/>
      <c r="N879" s="18"/>
      <c r="O879" s="19"/>
      <c r="P879" s="8"/>
      <c r="Q879" s="8"/>
      <c r="R879" s="15"/>
    </row>
    <row r="880" ht="13.5" customHeight="1">
      <c r="B880" s="8"/>
      <c r="C880" s="8"/>
      <c r="G880" s="8"/>
      <c r="H880" s="8"/>
      <c r="I880" s="15"/>
      <c r="K880" s="20"/>
      <c r="L880" s="15"/>
      <c r="M880" s="17"/>
      <c r="N880" s="18"/>
      <c r="O880" s="19"/>
      <c r="P880" s="8"/>
      <c r="Q880" s="8"/>
      <c r="R880" s="15"/>
    </row>
    <row r="881" ht="13.5" customHeight="1">
      <c r="B881" s="8"/>
      <c r="C881" s="8"/>
      <c r="G881" s="8"/>
      <c r="H881" s="8"/>
      <c r="I881" s="15"/>
      <c r="K881" s="20"/>
      <c r="L881" s="15"/>
      <c r="M881" s="17"/>
      <c r="N881" s="18"/>
      <c r="O881" s="19"/>
      <c r="P881" s="8"/>
      <c r="Q881" s="8"/>
      <c r="R881" s="15"/>
    </row>
    <row r="882" ht="13.5" customHeight="1">
      <c r="B882" s="8"/>
      <c r="C882" s="8"/>
      <c r="G882" s="8"/>
      <c r="H882" s="8"/>
      <c r="I882" s="15"/>
      <c r="K882" s="20"/>
      <c r="L882" s="15"/>
      <c r="M882" s="17"/>
      <c r="N882" s="18"/>
      <c r="O882" s="19"/>
      <c r="P882" s="8"/>
      <c r="Q882" s="8"/>
      <c r="R882" s="15"/>
    </row>
    <row r="883" ht="13.5" customHeight="1">
      <c r="B883" s="8"/>
      <c r="C883" s="8"/>
      <c r="G883" s="8"/>
      <c r="H883" s="8"/>
      <c r="I883" s="15"/>
      <c r="K883" s="20"/>
      <c r="L883" s="15"/>
      <c r="M883" s="17"/>
      <c r="N883" s="18"/>
      <c r="O883" s="19"/>
      <c r="P883" s="8"/>
      <c r="Q883" s="8"/>
      <c r="R883" s="15"/>
    </row>
    <row r="884" ht="13.5" customHeight="1">
      <c r="B884" s="8"/>
      <c r="C884" s="8"/>
      <c r="G884" s="8"/>
      <c r="H884" s="8"/>
      <c r="I884" s="15"/>
      <c r="K884" s="20"/>
      <c r="L884" s="15"/>
      <c r="M884" s="17"/>
      <c r="N884" s="18"/>
      <c r="O884" s="19"/>
      <c r="P884" s="8"/>
      <c r="Q884" s="8"/>
      <c r="R884" s="15"/>
    </row>
    <row r="885" ht="13.5" customHeight="1">
      <c r="B885" s="8"/>
      <c r="C885" s="8"/>
      <c r="G885" s="8"/>
      <c r="H885" s="8"/>
      <c r="I885" s="15"/>
      <c r="K885" s="20"/>
      <c r="L885" s="15"/>
      <c r="M885" s="17"/>
      <c r="N885" s="18"/>
      <c r="O885" s="19"/>
      <c r="P885" s="8"/>
      <c r="Q885" s="8"/>
      <c r="R885" s="15"/>
    </row>
    <row r="886" ht="13.5" customHeight="1">
      <c r="B886" s="8"/>
      <c r="C886" s="8"/>
      <c r="G886" s="8"/>
      <c r="H886" s="8"/>
      <c r="I886" s="15"/>
      <c r="K886" s="20"/>
      <c r="L886" s="15"/>
      <c r="M886" s="17"/>
      <c r="N886" s="18"/>
      <c r="O886" s="19"/>
      <c r="P886" s="8"/>
      <c r="Q886" s="8"/>
      <c r="R886" s="15"/>
    </row>
    <row r="887" ht="13.5" customHeight="1">
      <c r="B887" s="8"/>
      <c r="C887" s="8"/>
      <c r="G887" s="8"/>
      <c r="H887" s="8"/>
      <c r="I887" s="15"/>
      <c r="K887" s="20"/>
      <c r="L887" s="15"/>
      <c r="M887" s="17"/>
      <c r="N887" s="18"/>
      <c r="O887" s="19"/>
      <c r="P887" s="8"/>
      <c r="Q887" s="8"/>
      <c r="R887" s="15"/>
    </row>
    <row r="888" ht="13.5" customHeight="1">
      <c r="B888" s="8"/>
      <c r="C888" s="8"/>
      <c r="G888" s="8"/>
      <c r="H888" s="8"/>
      <c r="I888" s="15"/>
      <c r="K888" s="20"/>
      <c r="L888" s="15"/>
      <c r="M888" s="17"/>
      <c r="N888" s="18"/>
      <c r="O888" s="19"/>
      <c r="P888" s="8"/>
      <c r="Q888" s="8"/>
      <c r="R888" s="15"/>
    </row>
    <row r="889" ht="13.5" customHeight="1">
      <c r="B889" s="8"/>
      <c r="C889" s="8"/>
      <c r="G889" s="8"/>
      <c r="H889" s="8"/>
      <c r="I889" s="15"/>
      <c r="K889" s="20"/>
      <c r="L889" s="15"/>
      <c r="M889" s="17"/>
      <c r="N889" s="18"/>
      <c r="O889" s="19"/>
      <c r="P889" s="8"/>
      <c r="Q889" s="8"/>
      <c r="R889" s="15"/>
    </row>
    <row r="890" ht="13.5" customHeight="1">
      <c r="B890" s="8"/>
      <c r="C890" s="8"/>
      <c r="G890" s="8"/>
      <c r="H890" s="8"/>
      <c r="I890" s="15"/>
      <c r="K890" s="20"/>
      <c r="L890" s="15"/>
      <c r="M890" s="17"/>
      <c r="N890" s="18"/>
      <c r="O890" s="19"/>
      <c r="P890" s="8"/>
      <c r="Q890" s="8"/>
      <c r="R890" s="15"/>
    </row>
    <row r="891" ht="13.5" customHeight="1">
      <c r="B891" s="8"/>
      <c r="C891" s="8"/>
      <c r="G891" s="8"/>
      <c r="H891" s="8"/>
      <c r="I891" s="15"/>
      <c r="K891" s="20"/>
      <c r="L891" s="15"/>
      <c r="M891" s="17"/>
      <c r="N891" s="18"/>
      <c r="O891" s="19"/>
      <c r="P891" s="8"/>
      <c r="Q891" s="8"/>
      <c r="R891" s="15"/>
    </row>
    <row r="892" ht="13.5" customHeight="1">
      <c r="B892" s="8"/>
      <c r="C892" s="8"/>
      <c r="G892" s="8"/>
      <c r="H892" s="8"/>
      <c r="I892" s="15"/>
      <c r="K892" s="20"/>
      <c r="L892" s="15"/>
      <c r="M892" s="17"/>
      <c r="N892" s="18"/>
      <c r="O892" s="19"/>
      <c r="P892" s="8"/>
      <c r="Q892" s="8"/>
      <c r="R892" s="15"/>
    </row>
    <row r="893" ht="13.5" customHeight="1">
      <c r="B893" s="8"/>
      <c r="C893" s="8"/>
      <c r="G893" s="8"/>
      <c r="H893" s="8"/>
      <c r="I893" s="15"/>
      <c r="K893" s="20"/>
      <c r="L893" s="15"/>
      <c r="M893" s="17"/>
      <c r="N893" s="18"/>
      <c r="O893" s="19"/>
      <c r="P893" s="8"/>
      <c r="Q893" s="8"/>
      <c r="R893" s="15"/>
    </row>
    <row r="894" ht="13.5" customHeight="1">
      <c r="B894" s="8"/>
      <c r="C894" s="8"/>
      <c r="G894" s="8"/>
      <c r="H894" s="8"/>
      <c r="I894" s="15"/>
      <c r="K894" s="20"/>
      <c r="L894" s="15"/>
      <c r="M894" s="17"/>
      <c r="N894" s="18"/>
      <c r="O894" s="19"/>
      <c r="P894" s="8"/>
      <c r="Q894" s="8"/>
      <c r="R894" s="15"/>
    </row>
    <row r="895" ht="13.5" customHeight="1">
      <c r="B895" s="8"/>
      <c r="C895" s="8"/>
      <c r="G895" s="8"/>
      <c r="H895" s="8"/>
      <c r="I895" s="15"/>
      <c r="K895" s="20"/>
      <c r="L895" s="15"/>
      <c r="M895" s="17"/>
      <c r="N895" s="18"/>
      <c r="O895" s="19"/>
      <c r="P895" s="8"/>
      <c r="Q895" s="8"/>
      <c r="R895" s="15"/>
    </row>
    <row r="896" ht="13.5" customHeight="1">
      <c r="B896" s="8"/>
      <c r="C896" s="8"/>
      <c r="G896" s="8"/>
      <c r="H896" s="8"/>
      <c r="I896" s="15"/>
      <c r="K896" s="20"/>
      <c r="L896" s="15"/>
      <c r="M896" s="17"/>
      <c r="N896" s="18"/>
      <c r="O896" s="19"/>
      <c r="P896" s="8"/>
      <c r="Q896" s="8"/>
      <c r="R896" s="15"/>
    </row>
    <row r="897" ht="13.5" customHeight="1">
      <c r="B897" s="8"/>
      <c r="C897" s="8"/>
      <c r="G897" s="8"/>
      <c r="H897" s="8"/>
      <c r="I897" s="15"/>
      <c r="K897" s="20"/>
      <c r="L897" s="15"/>
      <c r="M897" s="17"/>
      <c r="N897" s="18"/>
      <c r="O897" s="19"/>
      <c r="P897" s="8"/>
      <c r="Q897" s="8"/>
      <c r="R897" s="15"/>
    </row>
    <row r="898" ht="13.5" customHeight="1">
      <c r="B898" s="8"/>
      <c r="C898" s="8"/>
      <c r="G898" s="8"/>
      <c r="H898" s="8"/>
      <c r="I898" s="15"/>
      <c r="K898" s="20"/>
      <c r="L898" s="15"/>
      <c r="M898" s="17"/>
      <c r="N898" s="18"/>
      <c r="O898" s="19"/>
      <c r="P898" s="8"/>
      <c r="Q898" s="8"/>
      <c r="R898" s="15"/>
    </row>
    <row r="899" ht="13.5" customHeight="1">
      <c r="B899" s="8"/>
      <c r="C899" s="8"/>
      <c r="G899" s="8"/>
      <c r="H899" s="8"/>
      <c r="I899" s="15"/>
      <c r="K899" s="20"/>
      <c r="L899" s="15"/>
      <c r="M899" s="17"/>
      <c r="N899" s="18"/>
      <c r="O899" s="19"/>
      <c r="P899" s="8"/>
      <c r="Q899" s="8"/>
      <c r="R899" s="15"/>
    </row>
    <row r="900" ht="13.5" customHeight="1">
      <c r="B900" s="8"/>
      <c r="C900" s="8"/>
      <c r="G900" s="8"/>
      <c r="H900" s="8"/>
      <c r="I900" s="15"/>
      <c r="K900" s="20"/>
      <c r="L900" s="15"/>
      <c r="M900" s="17"/>
      <c r="N900" s="18"/>
      <c r="O900" s="19"/>
      <c r="P900" s="8"/>
      <c r="Q900" s="8"/>
      <c r="R900" s="15"/>
    </row>
    <row r="901" ht="13.5" customHeight="1">
      <c r="B901" s="8"/>
      <c r="C901" s="8"/>
      <c r="G901" s="8"/>
      <c r="H901" s="8"/>
      <c r="I901" s="15"/>
      <c r="K901" s="20"/>
      <c r="L901" s="15"/>
      <c r="M901" s="17"/>
      <c r="N901" s="18"/>
      <c r="O901" s="19"/>
      <c r="P901" s="8"/>
      <c r="Q901" s="8"/>
      <c r="R901" s="15"/>
    </row>
    <row r="902" ht="13.5" customHeight="1">
      <c r="B902" s="8"/>
      <c r="C902" s="8"/>
      <c r="G902" s="8"/>
      <c r="H902" s="8"/>
      <c r="I902" s="15"/>
      <c r="K902" s="20"/>
      <c r="L902" s="15"/>
      <c r="M902" s="17"/>
      <c r="N902" s="18"/>
      <c r="O902" s="19"/>
      <c r="P902" s="8"/>
      <c r="Q902" s="8"/>
      <c r="R902" s="15"/>
    </row>
    <row r="903" ht="13.5" customHeight="1">
      <c r="B903" s="8"/>
      <c r="C903" s="8"/>
      <c r="G903" s="8"/>
      <c r="H903" s="8"/>
      <c r="I903" s="15"/>
      <c r="K903" s="20"/>
      <c r="L903" s="15"/>
      <c r="M903" s="17"/>
      <c r="N903" s="18"/>
      <c r="O903" s="19"/>
      <c r="P903" s="8"/>
      <c r="Q903" s="8"/>
      <c r="R903" s="15"/>
    </row>
    <row r="904" ht="13.5" customHeight="1">
      <c r="B904" s="8"/>
      <c r="C904" s="8"/>
      <c r="G904" s="8"/>
      <c r="H904" s="8"/>
      <c r="I904" s="15"/>
      <c r="K904" s="20"/>
      <c r="L904" s="15"/>
      <c r="M904" s="17"/>
      <c r="N904" s="18"/>
      <c r="O904" s="19"/>
      <c r="P904" s="8"/>
      <c r="Q904" s="8"/>
      <c r="R904" s="15"/>
    </row>
    <row r="905" ht="13.5" customHeight="1">
      <c r="B905" s="8"/>
      <c r="C905" s="8"/>
      <c r="G905" s="8"/>
      <c r="H905" s="8"/>
      <c r="I905" s="15"/>
      <c r="K905" s="20"/>
      <c r="L905" s="15"/>
      <c r="M905" s="17"/>
      <c r="N905" s="18"/>
      <c r="O905" s="19"/>
      <c r="P905" s="8"/>
      <c r="Q905" s="8"/>
      <c r="R905" s="15"/>
    </row>
    <row r="906" ht="13.5" customHeight="1">
      <c r="B906" s="8"/>
      <c r="C906" s="8"/>
      <c r="G906" s="8"/>
      <c r="H906" s="8"/>
      <c r="I906" s="15"/>
      <c r="K906" s="20"/>
      <c r="L906" s="15"/>
      <c r="M906" s="17"/>
      <c r="N906" s="18"/>
      <c r="O906" s="19"/>
      <c r="P906" s="8"/>
      <c r="Q906" s="8"/>
      <c r="R906" s="15"/>
    </row>
    <row r="907" ht="13.5" customHeight="1">
      <c r="B907" s="8"/>
      <c r="C907" s="8"/>
      <c r="G907" s="8"/>
      <c r="H907" s="8"/>
      <c r="I907" s="15"/>
      <c r="K907" s="20"/>
      <c r="L907" s="15"/>
      <c r="M907" s="17"/>
      <c r="N907" s="18"/>
      <c r="O907" s="19"/>
      <c r="P907" s="8"/>
      <c r="Q907" s="8"/>
      <c r="R907" s="15"/>
    </row>
    <row r="908" ht="13.5" customHeight="1">
      <c r="B908" s="8"/>
      <c r="C908" s="8"/>
      <c r="G908" s="8"/>
      <c r="H908" s="8"/>
      <c r="I908" s="15"/>
      <c r="K908" s="20"/>
      <c r="L908" s="15"/>
      <c r="M908" s="17"/>
      <c r="N908" s="18"/>
      <c r="O908" s="19"/>
      <c r="P908" s="8"/>
      <c r="Q908" s="8"/>
      <c r="R908" s="15"/>
    </row>
    <row r="909" ht="13.5" customHeight="1">
      <c r="B909" s="8"/>
      <c r="C909" s="8"/>
      <c r="G909" s="8"/>
      <c r="H909" s="8"/>
      <c r="I909" s="15"/>
      <c r="K909" s="20"/>
      <c r="L909" s="15"/>
      <c r="M909" s="17"/>
      <c r="N909" s="18"/>
      <c r="O909" s="19"/>
      <c r="P909" s="8"/>
      <c r="Q909" s="8"/>
      <c r="R909" s="15"/>
    </row>
    <row r="910" ht="13.5" customHeight="1">
      <c r="B910" s="8"/>
      <c r="C910" s="8"/>
      <c r="G910" s="8"/>
      <c r="H910" s="8"/>
      <c r="I910" s="15"/>
      <c r="K910" s="20"/>
      <c r="L910" s="15"/>
      <c r="M910" s="17"/>
      <c r="N910" s="18"/>
      <c r="O910" s="19"/>
      <c r="P910" s="8"/>
      <c r="Q910" s="8"/>
      <c r="R910" s="15"/>
    </row>
    <row r="911" ht="13.5" customHeight="1">
      <c r="B911" s="8"/>
      <c r="C911" s="8"/>
      <c r="G911" s="8"/>
      <c r="H911" s="8"/>
      <c r="I911" s="15"/>
      <c r="K911" s="20"/>
      <c r="L911" s="15"/>
      <c r="M911" s="17"/>
      <c r="N911" s="18"/>
      <c r="O911" s="19"/>
      <c r="P911" s="8"/>
      <c r="Q911" s="8"/>
      <c r="R911" s="15"/>
    </row>
    <row r="912" ht="13.5" customHeight="1">
      <c r="B912" s="8"/>
      <c r="C912" s="8"/>
      <c r="G912" s="8"/>
      <c r="H912" s="8"/>
      <c r="I912" s="15"/>
      <c r="K912" s="20"/>
      <c r="L912" s="15"/>
      <c r="M912" s="17"/>
      <c r="N912" s="18"/>
      <c r="O912" s="19"/>
      <c r="P912" s="8"/>
      <c r="Q912" s="8"/>
      <c r="R912" s="15"/>
    </row>
    <row r="913" ht="13.5" customHeight="1">
      <c r="B913" s="8"/>
      <c r="C913" s="8"/>
      <c r="G913" s="8"/>
      <c r="H913" s="8"/>
      <c r="I913" s="15"/>
      <c r="K913" s="20"/>
      <c r="L913" s="15"/>
      <c r="M913" s="17"/>
      <c r="N913" s="18"/>
      <c r="O913" s="19"/>
      <c r="P913" s="8"/>
      <c r="Q913" s="8"/>
      <c r="R913" s="15"/>
    </row>
    <row r="914" ht="13.5" customHeight="1">
      <c r="B914" s="8"/>
      <c r="C914" s="8"/>
      <c r="G914" s="8"/>
      <c r="H914" s="8"/>
      <c r="I914" s="15"/>
      <c r="K914" s="20"/>
      <c r="L914" s="15"/>
      <c r="M914" s="17"/>
      <c r="N914" s="18"/>
      <c r="O914" s="19"/>
      <c r="P914" s="8"/>
      <c r="Q914" s="8"/>
      <c r="R914" s="15"/>
    </row>
    <row r="915" ht="13.5" customHeight="1">
      <c r="B915" s="8"/>
      <c r="C915" s="8"/>
      <c r="G915" s="8"/>
      <c r="H915" s="8"/>
      <c r="I915" s="15"/>
      <c r="K915" s="20"/>
      <c r="L915" s="15"/>
      <c r="M915" s="17"/>
      <c r="N915" s="18"/>
      <c r="O915" s="19"/>
      <c r="P915" s="8"/>
      <c r="Q915" s="8"/>
      <c r="R915" s="15"/>
    </row>
    <row r="916" ht="13.5" customHeight="1">
      <c r="B916" s="8"/>
      <c r="C916" s="8"/>
      <c r="G916" s="8"/>
      <c r="H916" s="8"/>
      <c r="I916" s="15"/>
      <c r="K916" s="20"/>
      <c r="L916" s="15"/>
      <c r="M916" s="17"/>
      <c r="N916" s="18"/>
      <c r="O916" s="19"/>
      <c r="P916" s="8"/>
      <c r="Q916" s="8"/>
      <c r="R916" s="15"/>
    </row>
    <row r="917" ht="13.5" customHeight="1">
      <c r="B917" s="8"/>
      <c r="C917" s="8"/>
      <c r="G917" s="8"/>
      <c r="H917" s="8"/>
      <c r="I917" s="15"/>
      <c r="K917" s="20"/>
      <c r="L917" s="15"/>
      <c r="M917" s="17"/>
      <c r="N917" s="18"/>
      <c r="O917" s="19"/>
      <c r="P917" s="8"/>
      <c r="Q917" s="8"/>
      <c r="R917" s="15"/>
    </row>
    <row r="918" ht="13.5" customHeight="1">
      <c r="B918" s="8"/>
      <c r="C918" s="8"/>
      <c r="G918" s="8"/>
      <c r="H918" s="8"/>
      <c r="I918" s="15"/>
      <c r="K918" s="20"/>
      <c r="L918" s="15"/>
      <c r="M918" s="17"/>
      <c r="N918" s="18"/>
      <c r="O918" s="19"/>
      <c r="P918" s="8"/>
      <c r="Q918" s="8"/>
      <c r="R918" s="15"/>
    </row>
    <row r="919" ht="13.5" customHeight="1">
      <c r="B919" s="8"/>
      <c r="C919" s="8"/>
      <c r="G919" s="8"/>
      <c r="H919" s="8"/>
      <c r="I919" s="15"/>
      <c r="K919" s="20"/>
      <c r="L919" s="15"/>
      <c r="M919" s="17"/>
      <c r="N919" s="18"/>
      <c r="O919" s="19"/>
      <c r="P919" s="8"/>
      <c r="Q919" s="8"/>
      <c r="R919" s="15"/>
    </row>
    <row r="920" ht="13.5" customHeight="1">
      <c r="B920" s="8"/>
      <c r="C920" s="8"/>
      <c r="G920" s="8"/>
      <c r="H920" s="8"/>
      <c r="I920" s="15"/>
      <c r="K920" s="20"/>
      <c r="L920" s="15"/>
      <c r="M920" s="17"/>
      <c r="N920" s="18"/>
      <c r="O920" s="19"/>
      <c r="P920" s="8"/>
      <c r="Q920" s="8"/>
      <c r="R920" s="15"/>
    </row>
    <row r="921" ht="13.5" customHeight="1">
      <c r="B921" s="8"/>
      <c r="C921" s="8"/>
      <c r="G921" s="8"/>
      <c r="H921" s="8"/>
      <c r="I921" s="15"/>
      <c r="K921" s="20"/>
      <c r="L921" s="15"/>
      <c r="M921" s="17"/>
      <c r="N921" s="18"/>
      <c r="O921" s="19"/>
      <c r="P921" s="8"/>
      <c r="Q921" s="8"/>
      <c r="R921" s="15"/>
    </row>
    <row r="922" ht="13.5" customHeight="1">
      <c r="B922" s="8"/>
      <c r="C922" s="8"/>
      <c r="G922" s="8"/>
      <c r="H922" s="8"/>
      <c r="I922" s="15"/>
      <c r="K922" s="20"/>
      <c r="L922" s="15"/>
      <c r="M922" s="17"/>
      <c r="N922" s="18"/>
      <c r="O922" s="19"/>
      <c r="P922" s="8"/>
      <c r="Q922" s="8"/>
      <c r="R922" s="15"/>
    </row>
    <row r="923" ht="13.5" customHeight="1">
      <c r="B923" s="8"/>
      <c r="C923" s="8"/>
      <c r="G923" s="8"/>
      <c r="H923" s="8"/>
      <c r="I923" s="15"/>
      <c r="K923" s="20"/>
      <c r="L923" s="15"/>
      <c r="M923" s="17"/>
      <c r="N923" s="18"/>
      <c r="O923" s="19"/>
      <c r="P923" s="8"/>
      <c r="Q923" s="8"/>
      <c r="R923" s="15"/>
    </row>
    <row r="924" ht="13.5" customHeight="1">
      <c r="B924" s="8"/>
      <c r="C924" s="8"/>
      <c r="G924" s="8"/>
      <c r="H924" s="8"/>
      <c r="I924" s="15"/>
      <c r="K924" s="20"/>
      <c r="L924" s="15"/>
      <c r="M924" s="17"/>
      <c r="N924" s="18"/>
      <c r="O924" s="19"/>
      <c r="P924" s="8"/>
      <c r="Q924" s="8"/>
      <c r="R924" s="15"/>
    </row>
    <row r="925" ht="13.5" customHeight="1">
      <c r="B925" s="8"/>
      <c r="C925" s="8"/>
      <c r="G925" s="8"/>
      <c r="H925" s="8"/>
      <c r="I925" s="15"/>
      <c r="K925" s="20"/>
      <c r="L925" s="15"/>
      <c r="M925" s="17"/>
      <c r="N925" s="18"/>
      <c r="O925" s="19"/>
      <c r="P925" s="8"/>
      <c r="Q925" s="8"/>
      <c r="R925" s="15"/>
    </row>
    <row r="926" ht="13.5" customHeight="1">
      <c r="B926" s="8"/>
      <c r="C926" s="8"/>
      <c r="G926" s="8"/>
      <c r="H926" s="8"/>
      <c r="I926" s="15"/>
      <c r="K926" s="20"/>
      <c r="L926" s="15"/>
      <c r="M926" s="17"/>
      <c r="N926" s="18"/>
      <c r="O926" s="19"/>
      <c r="P926" s="8"/>
      <c r="Q926" s="8"/>
      <c r="R926" s="15"/>
    </row>
    <row r="927" ht="13.5" customHeight="1">
      <c r="B927" s="8"/>
      <c r="C927" s="8"/>
      <c r="G927" s="8"/>
      <c r="H927" s="8"/>
      <c r="I927" s="15"/>
      <c r="K927" s="20"/>
      <c r="L927" s="15"/>
      <c r="M927" s="17"/>
      <c r="N927" s="18"/>
      <c r="O927" s="19"/>
      <c r="P927" s="8"/>
      <c r="Q927" s="8"/>
      <c r="R927" s="15"/>
    </row>
    <row r="928" ht="13.5" customHeight="1">
      <c r="B928" s="8"/>
      <c r="C928" s="8"/>
      <c r="G928" s="8"/>
      <c r="H928" s="8"/>
      <c r="I928" s="15"/>
      <c r="K928" s="20"/>
      <c r="L928" s="15"/>
      <c r="M928" s="17"/>
      <c r="N928" s="18"/>
      <c r="O928" s="19"/>
      <c r="P928" s="8"/>
      <c r="Q928" s="8"/>
      <c r="R928" s="15"/>
    </row>
    <row r="929" ht="13.5" customHeight="1">
      <c r="B929" s="8"/>
      <c r="C929" s="8"/>
      <c r="G929" s="8"/>
      <c r="H929" s="8"/>
      <c r="I929" s="15"/>
      <c r="K929" s="20"/>
      <c r="L929" s="15"/>
      <c r="M929" s="17"/>
      <c r="N929" s="18"/>
      <c r="O929" s="19"/>
      <c r="P929" s="8"/>
      <c r="Q929" s="8"/>
      <c r="R929" s="15"/>
    </row>
    <row r="930" ht="13.5" customHeight="1">
      <c r="B930" s="8"/>
      <c r="C930" s="8"/>
      <c r="G930" s="8"/>
      <c r="H930" s="8"/>
      <c r="I930" s="15"/>
      <c r="K930" s="20"/>
      <c r="L930" s="15"/>
      <c r="M930" s="17"/>
      <c r="N930" s="18"/>
      <c r="O930" s="19"/>
      <c r="P930" s="8"/>
      <c r="Q930" s="8"/>
      <c r="R930" s="15"/>
    </row>
    <row r="931" ht="13.5" customHeight="1">
      <c r="B931" s="8"/>
      <c r="C931" s="8"/>
      <c r="G931" s="8"/>
      <c r="H931" s="8"/>
      <c r="I931" s="15"/>
      <c r="K931" s="20"/>
      <c r="L931" s="15"/>
      <c r="M931" s="17"/>
      <c r="N931" s="18"/>
      <c r="O931" s="19"/>
      <c r="P931" s="8"/>
      <c r="Q931" s="8"/>
      <c r="R931" s="15"/>
    </row>
    <row r="932" ht="13.5" customHeight="1">
      <c r="B932" s="8"/>
      <c r="C932" s="8"/>
      <c r="G932" s="8"/>
      <c r="H932" s="8"/>
      <c r="I932" s="15"/>
      <c r="K932" s="20"/>
      <c r="L932" s="15"/>
      <c r="M932" s="17"/>
      <c r="N932" s="18"/>
      <c r="O932" s="19"/>
      <c r="P932" s="8"/>
      <c r="Q932" s="8"/>
      <c r="R932" s="15"/>
    </row>
    <row r="933" ht="13.5" customHeight="1">
      <c r="B933" s="8"/>
      <c r="C933" s="8"/>
      <c r="G933" s="8"/>
      <c r="H933" s="8"/>
      <c r="I933" s="15"/>
      <c r="K933" s="20"/>
      <c r="L933" s="15"/>
      <c r="M933" s="17"/>
      <c r="N933" s="18"/>
      <c r="O933" s="19"/>
      <c r="P933" s="8"/>
      <c r="Q933" s="8"/>
      <c r="R933" s="15"/>
    </row>
    <row r="934" ht="13.5" customHeight="1">
      <c r="B934" s="8"/>
      <c r="C934" s="8"/>
      <c r="G934" s="8"/>
      <c r="H934" s="8"/>
      <c r="I934" s="15"/>
      <c r="K934" s="20"/>
      <c r="L934" s="15"/>
      <c r="M934" s="17"/>
      <c r="N934" s="18"/>
      <c r="O934" s="19"/>
      <c r="P934" s="8"/>
      <c r="Q934" s="8"/>
      <c r="R934" s="15"/>
    </row>
    <row r="935" ht="13.5" customHeight="1">
      <c r="B935" s="8"/>
      <c r="C935" s="8"/>
      <c r="G935" s="8"/>
      <c r="H935" s="8"/>
      <c r="I935" s="15"/>
      <c r="K935" s="20"/>
      <c r="L935" s="15"/>
      <c r="M935" s="17"/>
      <c r="N935" s="18"/>
      <c r="O935" s="19"/>
      <c r="P935" s="8"/>
      <c r="Q935" s="8"/>
      <c r="R935" s="15"/>
    </row>
    <row r="936" ht="13.5" customHeight="1">
      <c r="B936" s="8"/>
      <c r="C936" s="8"/>
      <c r="G936" s="8"/>
      <c r="H936" s="8"/>
      <c r="I936" s="15"/>
      <c r="K936" s="20"/>
      <c r="L936" s="15"/>
      <c r="M936" s="17"/>
      <c r="N936" s="18"/>
      <c r="O936" s="19"/>
      <c r="P936" s="8"/>
      <c r="Q936" s="8"/>
      <c r="R936" s="15"/>
    </row>
    <row r="937" ht="13.5" customHeight="1">
      <c r="B937" s="8"/>
      <c r="C937" s="8"/>
      <c r="G937" s="8"/>
      <c r="H937" s="8"/>
      <c r="I937" s="15"/>
      <c r="K937" s="20"/>
      <c r="L937" s="15"/>
      <c r="M937" s="17"/>
      <c r="N937" s="18"/>
      <c r="O937" s="19"/>
      <c r="P937" s="8"/>
      <c r="Q937" s="8"/>
      <c r="R937" s="15"/>
    </row>
    <row r="938" ht="13.5" customHeight="1">
      <c r="B938" s="8"/>
      <c r="C938" s="8"/>
      <c r="G938" s="8"/>
      <c r="H938" s="8"/>
      <c r="I938" s="15"/>
      <c r="K938" s="20"/>
      <c r="L938" s="15"/>
      <c r="M938" s="17"/>
      <c r="N938" s="18"/>
      <c r="O938" s="19"/>
      <c r="P938" s="8"/>
      <c r="Q938" s="8"/>
      <c r="R938" s="15"/>
    </row>
    <row r="939" ht="13.5" customHeight="1">
      <c r="B939" s="8"/>
      <c r="C939" s="8"/>
      <c r="G939" s="8"/>
      <c r="H939" s="8"/>
      <c r="I939" s="15"/>
      <c r="K939" s="20"/>
      <c r="L939" s="15"/>
      <c r="M939" s="17"/>
      <c r="N939" s="18"/>
      <c r="O939" s="19"/>
      <c r="P939" s="8"/>
      <c r="Q939" s="8"/>
      <c r="R939" s="15"/>
    </row>
    <row r="940" ht="13.5" customHeight="1">
      <c r="B940" s="8"/>
      <c r="C940" s="8"/>
      <c r="G940" s="8"/>
      <c r="H940" s="8"/>
      <c r="I940" s="15"/>
      <c r="K940" s="20"/>
      <c r="L940" s="15"/>
      <c r="M940" s="17"/>
      <c r="N940" s="18"/>
      <c r="O940" s="19"/>
      <c r="P940" s="8"/>
      <c r="Q940" s="8"/>
      <c r="R940" s="15"/>
    </row>
    <row r="941" ht="13.5" customHeight="1">
      <c r="B941" s="8"/>
      <c r="C941" s="8"/>
      <c r="G941" s="8"/>
      <c r="H941" s="8"/>
      <c r="I941" s="15"/>
      <c r="K941" s="20"/>
      <c r="L941" s="15"/>
      <c r="M941" s="17"/>
      <c r="N941" s="18"/>
      <c r="O941" s="19"/>
      <c r="P941" s="8"/>
      <c r="Q941" s="8"/>
      <c r="R941" s="15"/>
    </row>
    <row r="942" ht="13.5" customHeight="1">
      <c r="B942" s="8"/>
      <c r="C942" s="8"/>
      <c r="G942" s="8"/>
      <c r="H942" s="8"/>
      <c r="I942" s="15"/>
      <c r="K942" s="20"/>
      <c r="L942" s="15"/>
      <c r="M942" s="17"/>
      <c r="N942" s="18"/>
      <c r="O942" s="19"/>
      <c r="P942" s="8"/>
      <c r="Q942" s="8"/>
      <c r="R942" s="15"/>
    </row>
    <row r="943" ht="13.5" customHeight="1">
      <c r="B943" s="8"/>
      <c r="C943" s="8"/>
      <c r="G943" s="8"/>
      <c r="H943" s="8"/>
      <c r="I943" s="15"/>
      <c r="K943" s="20"/>
      <c r="L943" s="15"/>
      <c r="M943" s="17"/>
      <c r="N943" s="18"/>
      <c r="O943" s="19"/>
      <c r="P943" s="8"/>
      <c r="Q943" s="8"/>
      <c r="R943" s="15"/>
    </row>
    <row r="944" ht="13.5" customHeight="1">
      <c r="B944" s="8"/>
      <c r="C944" s="8"/>
      <c r="G944" s="8"/>
      <c r="H944" s="8"/>
      <c r="I944" s="15"/>
      <c r="K944" s="20"/>
      <c r="L944" s="15"/>
      <c r="M944" s="17"/>
      <c r="N944" s="18"/>
      <c r="O944" s="19"/>
      <c r="P944" s="8"/>
      <c r="Q944" s="8"/>
      <c r="R944" s="15"/>
    </row>
    <row r="945" ht="13.5" customHeight="1">
      <c r="B945" s="8"/>
      <c r="C945" s="8"/>
      <c r="G945" s="8"/>
      <c r="H945" s="8"/>
      <c r="I945" s="15"/>
      <c r="K945" s="20"/>
      <c r="L945" s="15"/>
      <c r="M945" s="17"/>
      <c r="N945" s="18"/>
      <c r="O945" s="19"/>
      <c r="P945" s="8"/>
      <c r="Q945" s="8"/>
      <c r="R945" s="15"/>
    </row>
    <row r="946" ht="13.5" customHeight="1">
      <c r="B946" s="8"/>
      <c r="C946" s="8"/>
      <c r="G946" s="8"/>
      <c r="H946" s="8"/>
      <c r="I946" s="15"/>
      <c r="K946" s="20"/>
      <c r="L946" s="15"/>
      <c r="M946" s="17"/>
      <c r="N946" s="18"/>
      <c r="O946" s="19"/>
      <c r="P946" s="8"/>
      <c r="Q946" s="8"/>
      <c r="R946" s="15"/>
    </row>
    <row r="947" ht="13.5" customHeight="1">
      <c r="B947" s="8"/>
      <c r="C947" s="8"/>
      <c r="G947" s="8"/>
      <c r="H947" s="8"/>
      <c r="I947" s="15"/>
      <c r="K947" s="20"/>
      <c r="L947" s="15"/>
      <c r="M947" s="17"/>
      <c r="N947" s="18"/>
      <c r="O947" s="19"/>
      <c r="P947" s="8"/>
      <c r="Q947" s="8"/>
      <c r="R947" s="15"/>
    </row>
    <row r="948" ht="13.5" customHeight="1">
      <c r="B948" s="8"/>
      <c r="C948" s="8"/>
      <c r="G948" s="8"/>
      <c r="H948" s="8"/>
      <c r="I948" s="15"/>
      <c r="K948" s="20"/>
      <c r="L948" s="15"/>
      <c r="M948" s="17"/>
      <c r="N948" s="18"/>
      <c r="O948" s="19"/>
      <c r="P948" s="8"/>
      <c r="Q948" s="8"/>
      <c r="R948" s="15"/>
    </row>
    <row r="949" ht="13.5" customHeight="1">
      <c r="B949" s="8"/>
      <c r="C949" s="8"/>
      <c r="G949" s="8"/>
      <c r="H949" s="8"/>
      <c r="I949" s="15"/>
      <c r="K949" s="20"/>
      <c r="L949" s="15"/>
      <c r="M949" s="17"/>
      <c r="N949" s="18"/>
      <c r="O949" s="19"/>
      <c r="P949" s="8"/>
      <c r="Q949" s="8"/>
      <c r="R949" s="15"/>
    </row>
    <row r="950" ht="13.5" customHeight="1">
      <c r="B950" s="8"/>
      <c r="C950" s="8"/>
      <c r="G950" s="8"/>
      <c r="H950" s="8"/>
      <c r="I950" s="15"/>
      <c r="K950" s="20"/>
      <c r="L950" s="15"/>
      <c r="M950" s="17"/>
      <c r="N950" s="18"/>
      <c r="O950" s="19"/>
      <c r="P950" s="8"/>
      <c r="Q950" s="8"/>
      <c r="R950" s="15"/>
    </row>
    <row r="951" ht="13.5" customHeight="1">
      <c r="B951" s="8"/>
      <c r="C951" s="8"/>
      <c r="G951" s="8"/>
      <c r="H951" s="8"/>
      <c r="I951" s="15"/>
      <c r="K951" s="20"/>
      <c r="L951" s="15"/>
      <c r="M951" s="17"/>
      <c r="N951" s="18"/>
      <c r="O951" s="19"/>
      <c r="P951" s="8"/>
      <c r="Q951" s="8"/>
      <c r="R951" s="15"/>
    </row>
    <row r="952" ht="13.5" customHeight="1">
      <c r="B952" s="8"/>
      <c r="C952" s="8"/>
      <c r="G952" s="8"/>
      <c r="H952" s="8"/>
      <c r="I952" s="15"/>
      <c r="K952" s="20"/>
      <c r="L952" s="15"/>
      <c r="M952" s="17"/>
      <c r="N952" s="18"/>
      <c r="O952" s="19"/>
      <c r="P952" s="8"/>
      <c r="Q952" s="8"/>
      <c r="R952" s="15"/>
    </row>
    <row r="953" ht="13.5" customHeight="1">
      <c r="B953" s="8"/>
      <c r="C953" s="8"/>
      <c r="G953" s="8"/>
      <c r="H953" s="8"/>
      <c r="I953" s="15"/>
      <c r="K953" s="20"/>
      <c r="L953" s="15"/>
      <c r="M953" s="17"/>
      <c r="N953" s="18"/>
      <c r="O953" s="19"/>
      <c r="P953" s="8"/>
      <c r="Q953" s="8"/>
      <c r="R953" s="15"/>
    </row>
    <row r="954" ht="13.5" customHeight="1">
      <c r="B954" s="8"/>
      <c r="C954" s="8"/>
      <c r="G954" s="8"/>
      <c r="H954" s="8"/>
      <c r="I954" s="15"/>
      <c r="K954" s="20"/>
      <c r="L954" s="15"/>
      <c r="M954" s="17"/>
      <c r="N954" s="18"/>
      <c r="O954" s="19"/>
      <c r="P954" s="8"/>
      <c r="Q954" s="8"/>
      <c r="R954" s="15"/>
    </row>
    <row r="955" ht="13.5" customHeight="1">
      <c r="B955" s="8"/>
      <c r="C955" s="8"/>
      <c r="G955" s="8"/>
      <c r="H955" s="8"/>
      <c r="I955" s="15"/>
      <c r="K955" s="20"/>
      <c r="L955" s="15"/>
      <c r="M955" s="17"/>
      <c r="N955" s="18"/>
      <c r="O955" s="19"/>
      <c r="P955" s="8"/>
      <c r="Q955" s="8"/>
      <c r="R955" s="15"/>
    </row>
    <row r="956" ht="13.5" customHeight="1">
      <c r="B956" s="8"/>
      <c r="C956" s="8"/>
      <c r="G956" s="8"/>
      <c r="H956" s="8"/>
      <c r="I956" s="15"/>
      <c r="K956" s="20"/>
      <c r="L956" s="15"/>
      <c r="M956" s="17"/>
      <c r="N956" s="18"/>
      <c r="O956" s="19"/>
      <c r="P956" s="8"/>
      <c r="Q956" s="8"/>
      <c r="R956" s="15"/>
    </row>
    <row r="957" ht="13.5" customHeight="1">
      <c r="B957" s="8"/>
      <c r="C957" s="8"/>
      <c r="G957" s="8"/>
      <c r="H957" s="8"/>
      <c r="I957" s="15"/>
      <c r="K957" s="20"/>
      <c r="L957" s="15"/>
      <c r="M957" s="17"/>
      <c r="N957" s="18"/>
      <c r="O957" s="19"/>
      <c r="P957" s="8"/>
      <c r="Q957" s="8"/>
      <c r="R957" s="15"/>
    </row>
    <row r="958" ht="13.5" customHeight="1">
      <c r="B958" s="8"/>
      <c r="C958" s="8"/>
      <c r="G958" s="8"/>
      <c r="H958" s="8"/>
      <c r="I958" s="15"/>
      <c r="K958" s="20"/>
      <c r="L958" s="15"/>
      <c r="M958" s="17"/>
      <c r="N958" s="18"/>
      <c r="O958" s="19"/>
      <c r="P958" s="8"/>
      <c r="Q958" s="8"/>
      <c r="R958" s="15"/>
    </row>
    <row r="959" ht="13.5" customHeight="1">
      <c r="B959" s="8"/>
      <c r="C959" s="8"/>
      <c r="G959" s="8"/>
      <c r="H959" s="8"/>
      <c r="I959" s="15"/>
      <c r="K959" s="20"/>
      <c r="L959" s="15"/>
      <c r="M959" s="17"/>
      <c r="N959" s="18"/>
      <c r="O959" s="19"/>
      <c r="P959" s="8"/>
      <c r="Q959" s="8"/>
      <c r="R959" s="15"/>
    </row>
    <row r="960" ht="13.5" customHeight="1">
      <c r="B960" s="8"/>
      <c r="C960" s="8"/>
      <c r="G960" s="8"/>
      <c r="H960" s="8"/>
      <c r="I960" s="15"/>
      <c r="K960" s="20"/>
      <c r="L960" s="15"/>
      <c r="M960" s="17"/>
      <c r="N960" s="18"/>
      <c r="O960" s="19"/>
      <c r="P960" s="8"/>
      <c r="Q960" s="8"/>
      <c r="R960" s="15"/>
    </row>
    <row r="961" ht="13.5" customHeight="1">
      <c r="B961" s="8"/>
      <c r="C961" s="8"/>
      <c r="G961" s="8"/>
      <c r="H961" s="8"/>
      <c r="I961" s="15"/>
      <c r="K961" s="20"/>
      <c r="L961" s="15"/>
      <c r="M961" s="17"/>
      <c r="N961" s="18"/>
      <c r="O961" s="19"/>
      <c r="P961" s="8"/>
      <c r="Q961" s="8"/>
      <c r="R961" s="15"/>
    </row>
    <row r="962" ht="13.5" customHeight="1">
      <c r="B962" s="8"/>
      <c r="C962" s="8"/>
      <c r="G962" s="8"/>
      <c r="H962" s="8"/>
      <c r="I962" s="15"/>
      <c r="K962" s="20"/>
      <c r="L962" s="15"/>
      <c r="M962" s="17"/>
      <c r="N962" s="18"/>
      <c r="O962" s="19"/>
      <c r="P962" s="8"/>
      <c r="Q962" s="8"/>
      <c r="R962" s="15"/>
    </row>
    <row r="963" ht="13.5" customHeight="1">
      <c r="B963" s="8"/>
      <c r="C963" s="8"/>
      <c r="G963" s="8"/>
      <c r="H963" s="8"/>
      <c r="I963" s="15"/>
      <c r="K963" s="20"/>
      <c r="L963" s="15"/>
      <c r="M963" s="17"/>
      <c r="N963" s="18"/>
      <c r="O963" s="19"/>
      <c r="P963" s="8"/>
      <c r="Q963" s="8"/>
      <c r="R963" s="15"/>
    </row>
    <row r="964" ht="13.5" customHeight="1">
      <c r="B964" s="8"/>
      <c r="C964" s="8"/>
      <c r="G964" s="8"/>
      <c r="H964" s="8"/>
      <c r="I964" s="15"/>
      <c r="K964" s="20"/>
      <c r="L964" s="15"/>
      <c r="M964" s="17"/>
      <c r="N964" s="18"/>
      <c r="O964" s="19"/>
      <c r="P964" s="8"/>
      <c r="Q964" s="8"/>
      <c r="R964" s="15"/>
    </row>
    <row r="965" ht="13.5" customHeight="1">
      <c r="B965" s="8"/>
      <c r="C965" s="8"/>
      <c r="G965" s="8"/>
      <c r="H965" s="8"/>
      <c r="I965" s="15"/>
      <c r="K965" s="20"/>
      <c r="L965" s="15"/>
      <c r="M965" s="17"/>
      <c r="N965" s="18"/>
      <c r="O965" s="19"/>
      <c r="P965" s="8"/>
      <c r="Q965" s="8"/>
      <c r="R965" s="15"/>
    </row>
    <row r="966" ht="13.5" customHeight="1">
      <c r="B966" s="8"/>
      <c r="C966" s="8"/>
      <c r="G966" s="8"/>
      <c r="H966" s="8"/>
      <c r="I966" s="15"/>
      <c r="K966" s="20"/>
      <c r="L966" s="15"/>
      <c r="M966" s="17"/>
      <c r="N966" s="18"/>
      <c r="O966" s="19"/>
      <c r="P966" s="8"/>
      <c r="Q966" s="8"/>
      <c r="R966" s="15"/>
    </row>
    <row r="967" ht="13.5" customHeight="1">
      <c r="B967" s="8"/>
      <c r="C967" s="8"/>
      <c r="G967" s="8"/>
      <c r="H967" s="8"/>
      <c r="I967" s="15"/>
      <c r="K967" s="20"/>
      <c r="L967" s="15"/>
      <c r="M967" s="17"/>
      <c r="N967" s="18"/>
      <c r="O967" s="19"/>
      <c r="P967" s="8"/>
      <c r="Q967" s="8"/>
      <c r="R967" s="15"/>
    </row>
    <row r="968" ht="13.5" customHeight="1">
      <c r="B968" s="8"/>
      <c r="C968" s="8"/>
      <c r="G968" s="8"/>
      <c r="H968" s="8"/>
      <c r="I968" s="15"/>
      <c r="K968" s="20"/>
      <c r="L968" s="15"/>
      <c r="M968" s="17"/>
      <c r="N968" s="18"/>
      <c r="O968" s="19"/>
      <c r="P968" s="8"/>
      <c r="Q968" s="8"/>
      <c r="R968" s="15"/>
    </row>
    <row r="969" ht="13.5" customHeight="1">
      <c r="B969" s="8"/>
      <c r="C969" s="8"/>
      <c r="G969" s="8"/>
      <c r="H969" s="8"/>
      <c r="I969" s="15"/>
      <c r="K969" s="20"/>
      <c r="L969" s="15"/>
      <c r="M969" s="17"/>
      <c r="N969" s="18"/>
      <c r="O969" s="19"/>
      <c r="P969" s="8"/>
      <c r="Q969" s="8"/>
      <c r="R969" s="15"/>
    </row>
    <row r="970" ht="13.5" customHeight="1">
      <c r="B970" s="8"/>
      <c r="C970" s="8"/>
      <c r="G970" s="8"/>
      <c r="H970" s="8"/>
      <c r="I970" s="15"/>
      <c r="K970" s="20"/>
      <c r="L970" s="15"/>
      <c r="M970" s="17"/>
      <c r="N970" s="18"/>
      <c r="O970" s="19"/>
      <c r="P970" s="8"/>
      <c r="Q970" s="8"/>
      <c r="R970" s="15"/>
    </row>
    <row r="971" ht="13.5" customHeight="1">
      <c r="B971" s="8"/>
      <c r="C971" s="8"/>
      <c r="G971" s="8"/>
      <c r="H971" s="8"/>
      <c r="I971" s="15"/>
      <c r="K971" s="20"/>
      <c r="L971" s="15"/>
      <c r="M971" s="17"/>
      <c r="N971" s="18"/>
      <c r="O971" s="19"/>
      <c r="P971" s="8"/>
      <c r="Q971" s="8"/>
      <c r="R971" s="15"/>
    </row>
    <row r="972" ht="13.5" customHeight="1">
      <c r="B972" s="8"/>
      <c r="C972" s="8"/>
      <c r="G972" s="8"/>
      <c r="H972" s="8"/>
      <c r="I972" s="15"/>
      <c r="K972" s="20"/>
      <c r="L972" s="15"/>
      <c r="M972" s="17"/>
      <c r="N972" s="18"/>
      <c r="O972" s="19"/>
      <c r="P972" s="8"/>
      <c r="Q972" s="8"/>
      <c r="R972" s="15"/>
    </row>
    <row r="973" ht="13.5" customHeight="1">
      <c r="B973" s="8"/>
      <c r="C973" s="8"/>
      <c r="G973" s="8"/>
      <c r="H973" s="8"/>
      <c r="I973" s="15"/>
      <c r="K973" s="20"/>
      <c r="L973" s="15"/>
      <c r="M973" s="17"/>
      <c r="N973" s="18"/>
      <c r="O973" s="19"/>
      <c r="P973" s="8"/>
      <c r="Q973" s="8"/>
      <c r="R973" s="15"/>
    </row>
    <row r="974" ht="13.5" customHeight="1">
      <c r="B974" s="8"/>
      <c r="C974" s="8"/>
      <c r="G974" s="8"/>
      <c r="H974" s="8"/>
      <c r="I974" s="15"/>
      <c r="K974" s="20"/>
      <c r="L974" s="15"/>
      <c r="M974" s="17"/>
      <c r="N974" s="18"/>
      <c r="O974" s="19"/>
      <c r="P974" s="8"/>
      <c r="Q974" s="8"/>
      <c r="R974" s="15"/>
    </row>
    <row r="975" ht="13.5" customHeight="1">
      <c r="B975" s="8"/>
      <c r="C975" s="8"/>
      <c r="G975" s="8"/>
      <c r="H975" s="8"/>
      <c r="I975" s="15"/>
      <c r="K975" s="20"/>
      <c r="L975" s="15"/>
      <c r="M975" s="17"/>
      <c r="N975" s="18"/>
      <c r="O975" s="19"/>
      <c r="P975" s="8"/>
      <c r="Q975" s="8"/>
      <c r="R975" s="15"/>
    </row>
    <row r="976" ht="13.5" customHeight="1">
      <c r="B976" s="8"/>
      <c r="C976" s="8"/>
      <c r="G976" s="8"/>
      <c r="H976" s="8"/>
      <c r="I976" s="15"/>
      <c r="K976" s="20"/>
      <c r="L976" s="15"/>
      <c r="M976" s="17"/>
      <c r="N976" s="18"/>
      <c r="O976" s="19"/>
      <c r="P976" s="8"/>
      <c r="Q976" s="8"/>
      <c r="R976" s="15"/>
    </row>
    <row r="977" ht="13.5" customHeight="1">
      <c r="B977" s="8"/>
      <c r="C977" s="8"/>
      <c r="G977" s="8"/>
      <c r="H977" s="8"/>
      <c r="I977" s="15"/>
      <c r="K977" s="20"/>
      <c r="L977" s="15"/>
      <c r="M977" s="17"/>
      <c r="N977" s="18"/>
      <c r="O977" s="19"/>
      <c r="P977" s="8"/>
      <c r="Q977" s="8"/>
      <c r="R977" s="15"/>
    </row>
    <row r="978" ht="13.5" customHeight="1">
      <c r="B978" s="8"/>
      <c r="C978" s="8"/>
      <c r="G978" s="8"/>
      <c r="H978" s="8"/>
      <c r="I978" s="15"/>
      <c r="K978" s="20"/>
      <c r="L978" s="15"/>
      <c r="M978" s="17"/>
      <c r="N978" s="18"/>
      <c r="O978" s="19"/>
      <c r="P978" s="8"/>
      <c r="Q978" s="8"/>
      <c r="R978" s="15"/>
    </row>
    <row r="979" ht="13.5" customHeight="1">
      <c r="B979" s="8"/>
      <c r="C979" s="8"/>
      <c r="G979" s="8"/>
      <c r="H979" s="8"/>
      <c r="I979" s="15"/>
      <c r="K979" s="20"/>
      <c r="L979" s="15"/>
      <c r="M979" s="17"/>
      <c r="N979" s="18"/>
      <c r="O979" s="19"/>
      <c r="P979" s="8"/>
      <c r="Q979" s="8"/>
      <c r="R979" s="15"/>
    </row>
    <row r="980" ht="13.5" customHeight="1">
      <c r="B980" s="8"/>
      <c r="C980" s="8"/>
      <c r="G980" s="8"/>
      <c r="H980" s="8"/>
      <c r="I980" s="15"/>
      <c r="K980" s="20"/>
      <c r="L980" s="15"/>
      <c r="M980" s="17"/>
      <c r="N980" s="18"/>
      <c r="O980" s="19"/>
      <c r="P980" s="8"/>
      <c r="Q980" s="8"/>
      <c r="R980" s="15"/>
    </row>
    <row r="981" ht="13.5" customHeight="1">
      <c r="B981" s="8"/>
      <c r="C981" s="8"/>
      <c r="G981" s="8"/>
      <c r="H981" s="8"/>
      <c r="I981" s="15"/>
      <c r="K981" s="20"/>
      <c r="L981" s="15"/>
      <c r="M981" s="17"/>
      <c r="N981" s="18"/>
      <c r="O981" s="19"/>
      <c r="P981" s="8"/>
      <c r="Q981" s="8"/>
      <c r="R981" s="15"/>
    </row>
    <row r="982" ht="13.5" customHeight="1">
      <c r="B982" s="8"/>
      <c r="C982" s="8"/>
      <c r="G982" s="8"/>
      <c r="H982" s="8"/>
      <c r="I982" s="15"/>
      <c r="K982" s="20"/>
      <c r="L982" s="15"/>
      <c r="M982" s="17"/>
      <c r="N982" s="18"/>
      <c r="O982" s="19"/>
      <c r="P982" s="8"/>
      <c r="Q982" s="8"/>
      <c r="R982" s="15"/>
    </row>
    <row r="983" ht="13.5" customHeight="1">
      <c r="B983" s="8"/>
      <c r="C983" s="8"/>
      <c r="G983" s="8"/>
      <c r="H983" s="8"/>
      <c r="I983" s="15"/>
      <c r="K983" s="20"/>
      <c r="L983" s="15"/>
      <c r="M983" s="17"/>
      <c r="N983" s="18"/>
      <c r="O983" s="19"/>
      <c r="P983" s="8"/>
      <c r="Q983" s="8"/>
      <c r="R983" s="15"/>
    </row>
    <row r="984" ht="13.5" customHeight="1">
      <c r="B984" s="8"/>
      <c r="C984" s="8"/>
      <c r="G984" s="8"/>
      <c r="H984" s="8"/>
      <c r="I984" s="15"/>
      <c r="K984" s="20"/>
      <c r="L984" s="15"/>
      <c r="M984" s="17"/>
      <c r="N984" s="18"/>
      <c r="O984" s="19"/>
      <c r="P984" s="8"/>
      <c r="Q984" s="8"/>
      <c r="R984" s="15"/>
    </row>
    <row r="985" ht="13.5" customHeight="1">
      <c r="B985" s="8"/>
      <c r="C985" s="8"/>
      <c r="G985" s="8"/>
      <c r="H985" s="8"/>
      <c r="I985" s="15"/>
      <c r="K985" s="20"/>
      <c r="L985" s="15"/>
      <c r="M985" s="17"/>
      <c r="N985" s="18"/>
      <c r="O985" s="19"/>
      <c r="P985" s="8"/>
      <c r="Q985" s="8"/>
      <c r="R985" s="15"/>
    </row>
    <row r="986" ht="13.5" customHeight="1">
      <c r="B986" s="8"/>
      <c r="C986" s="8"/>
      <c r="G986" s="8"/>
      <c r="H986" s="8"/>
      <c r="I986" s="15"/>
      <c r="K986" s="20"/>
      <c r="L986" s="15"/>
      <c r="M986" s="17"/>
      <c r="N986" s="18"/>
      <c r="O986" s="19"/>
      <c r="P986" s="8"/>
      <c r="Q986" s="8"/>
      <c r="R986" s="15"/>
    </row>
    <row r="987" ht="13.5" customHeight="1">
      <c r="B987" s="8"/>
      <c r="C987" s="8"/>
      <c r="G987" s="8"/>
      <c r="H987" s="8"/>
      <c r="I987" s="15"/>
      <c r="K987" s="20"/>
      <c r="L987" s="15"/>
      <c r="M987" s="17"/>
      <c r="N987" s="18"/>
      <c r="O987" s="19"/>
      <c r="P987" s="8"/>
      <c r="Q987" s="8"/>
      <c r="R987" s="15"/>
    </row>
    <row r="988" ht="13.5" customHeight="1">
      <c r="B988" s="8"/>
      <c r="C988" s="8"/>
      <c r="G988" s="8"/>
      <c r="H988" s="8"/>
      <c r="I988" s="15"/>
      <c r="K988" s="20"/>
      <c r="L988" s="15"/>
      <c r="M988" s="17"/>
      <c r="N988" s="18"/>
      <c r="O988" s="19"/>
      <c r="P988" s="8"/>
      <c r="Q988" s="8"/>
      <c r="R988" s="15"/>
    </row>
    <row r="989" ht="13.5" customHeight="1">
      <c r="B989" s="8"/>
      <c r="C989" s="8"/>
      <c r="G989" s="8"/>
      <c r="H989" s="8"/>
      <c r="I989" s="15"/>
      <c r="K989" s="20"/>
      <c r="L989" s="15"/>
      <c r="M989" s="17"/>
      <c r="N989" s="18"/>
      <c r="O989" s="19"/>
      <c r="P989" s="8"/>
      <c r="Q989" s="8"/>
      <c r="R989" s="15"/>
    </row>
    <row r="990" ht="13.5" customHeight="1">
      <c r="B990" s="8"/>
      <c r="C990" s="8"/>
      <c r="G990" s="8"/>
      <c r="H990" s="8"/>
      <c r="I990" s="15"/>
      <c r="K990" s="20"/>
      <c r="L990" s="15"/>
      <c r="M990" s="17"/>
      <c r="N990" s="18"/>
      <c r="O990" s="19"/>
      <c r="P990" s="8"/>
      <c r="Q990" s="8"/>
      <c r="R990" s="15"/>
    </row>
    <row r="991" ht="13.5" customHeight="1">
      <c r="B991" s="8"/>
      <c r="C991" s="8"/>
      <c r="G991" s="8"/>
      <c r="H991" s="8"/>
      <c r="I991" s="15"/>
      <c r="K991" s="20"/>
      <c r="L991" s="15"/>
      <c r="M991" s="17"/>
      <c r="N991" s="18"/>
      <c r="O991" s="19"/>
      <c r="P991" s="8"/>
      <c r="Q991" s="8"/>
      <c r="R991" s="15"/>
    </row>
    <row r="992" ht="13.5" customHeight="1">
      <c r="B992" s="8"/>
      <c r="C992" s="8"/>
      <c r="G992" s="8"/>
      <c r="H992" s="8"/>
      <c r="I992" s="15"/>
      <c r="K992" s="20"/>
      <c r="L992" s="15"/>
      <c r="M992" s="17"/>
      <c r="N992" s="18"/>
      <c r="O992" s="19"/>
      <c r="P992" s="8"/>
      <c r="Q992" s="8"/>
      <c r="R992" s="15"/>
    </row>
    <row r="993" ht="13.5" customHeight="1">
      <c r="B993" s="8"/>
      <c r="C993" s="8"/>
      <c r="G993" s="8"/>
      <c r="H993" s="8"/>
      <c r="I993" s="15"/>
      <c r="K993" s="20"/>
      <c r="L993" s="15"/>
      <c r="M993" s="17"/>
      <c r="N993" s="18"/>
      <c r="O993" s="19"/>
      <c r="P993" s="8"/>
      <c r="Q993" s="8"/>
      <c r="R993" s="15"/>
    </row>
    <row r="994" ht="13.5" customHeight="1">
      <c r="B994" s="8"/>
      <c r="C994" s="8"/>
      <c r="G994" s="8"/>
      <c r="H994" s="8"/>
      <c r="I994" s="15"/>
      <c r="K994" s="20"/>
      <c r="L994" s="15"/>
      <c r="M994" s="17"/>
      <c r="N994" s="18"/>
      <c r="O994" s="19"/>
      <c r="P994" s="8"/>
      <c r="Q994" s="8"/>
      <c r="R994" s="15"/>
    </row>
    <row r="995" ht="13.5" customHeight="1">
      <c r="B995" s="8"/>
      <c r="C995" s="8"/>
      <c r="G995" s="8"/>
      <c r="H995" s="8"/>
      <c r="I995" s="15"/>
      <c r="K995" s="20"/>
      <c r="L995" s="15"/>
      <c r="M995" s="17"/>
      <c r="N995" s="18"/>
      <c r="O995" s="19"/>
      <c r="P995" s="8"/>
      <c r="Q995" s="8"/>
      <c r="R995" s="15"/>
    </row>
    <row r="996" ht="13.5" customHeight="1">
      <c r="B996" s="8"/>
      <c r="C996" s="8"/>
      <c r="G996" s="8"/>
      <c r="H996" s="8"/>
      <c r="I996" s="15"/>
      <c r="K996" s="20"/>
      <c r="L996" s="15"/>
      <c r="M996" s="17"/>
      <c r="N996" s="18"/>
      <c r="O996" s="19"/>
      <c r="P996" s="8"/>
      <c r="Q996" s="8"/>
      <c r="R996" s="15"/>
    </row>
    <row r="997" ht="13.5" customHeight="1">
      <c r="B997" s="8"/>
      <c r="C997" s="8"/>
      <c r="G997" s="8"/>
      <c r="H997" s="8"/>
      <c r="I997" s="15"/>
      <c r="K997" s="20"/>
      <c r="L997" s="15"/>
      <c r="M997" s="17"/>
      <c r="N997" s="18"/>
      <c r="O997" s="19"/>
      <c r="P997" s="8"/>
      <c r="Q997" s="8"/>
      <c r="R997" s="15"/>
    </row>
    <row r="998" ht="13.5" customHeight="1">
      <c r="B998" s="8"/>
      <c r="C998" s="8"/>
      <c r="G998" s="8"/>
      <c r="H998" s="8"/>
      <c r="I998" s="15"/>
      <c r="K998" s="20"/>
      <c r="L998" s="15"/>
      <c r="M998" s="17"/>
      <c r="N998" s="18"/>
      <c r="O998" s="19"/>
      <c r="P998" s="8"/>
      <c r="Q998" s="8"/>
      <c r="R998" s="15"/>
    </row>
    <row r="999" ht="13.5" customHeight="1">
      <c r="B999" s="8"/>
      <c r="C999" s="8"/>
      <c r="G999" s="8"/>
      <c r="H999" s="8"/>
      <c r="I999" s="15"/>
      <c r="K999" s="20"/>
      <c r="L999" s="15"/>
      <c r="M999" s="17"/>
      <c r="N999" s="18"/>
      <c r="O999" s="19"/>
      <c r="P999" s="8"/>
      <c r="Q999" s="8"/>
      <c r="R999" s="15"/>
    </row>
    <row r="1000" ht="13.5" customHeight="1">
      <c r="B1000" s="8"/>
      <c r="C1000" s="8"/>
      <c r="G1000" s="8"/>
      <c r="H1000" s="8"/>
      <c r="I1000" s="15"/>
      <c r="K1000" s="20"/>
      <c r="L1000" s="15"/>
      <c r="M1000" s="17"/>
      <c r="N1000" s="18"/>
      <c r="O1000" s="19"/>
      <c r="P1000" s="8"/>
      <c r="Q1000" s="8"/>
      <c r="R1000" s="15"/>
    </row>
  </sheetData>
  <dataValidations>
    <dataValidation type="decimal" allowBlank="1" showErrorMessage="1" sqref="H1:H1000">
      <formula1>0.0</formula1>
      <formula2>100000.0</formula2>
    </dataValidation>
    <dataValidation type="decimal" allowBlank="1" showErrorMessage="1" sqref="O1:O1000">
      <formula1>0.0</formula1>
      <formula2>59.0</formula2>
    </dataValidation>
    <dataValidation type="list" allowBlank="1" showErrorMessage="1" sqref="B1:B1000">
      <formula1>DATA!A$2:A$28</formula1>
    </dataValidation>
    <dataValidation type="list" allowBlank="1" showErrorMessage="1" sqref="L1 L3:L1000">
      <formula1>DATA!$B$2:$B$3</formula1>
    </dataValidation>
    <dataValidation type="decimal" allowBlank="1" showErrorMessage="1" sqref="C1:C1000 G1:G1000">
      <formula1>0.0</formula1>
      <formula2>100.0</formula2>
    </dataValidation>
    <dataValidation type="decimal" allowBlank="1" showErrorMessage="1" sqref="P1:P1000">
      <formula1>1.0</formula1>
      <formula2>3.0</formula2>
    </dataValidation>
    <dataValidation type="list" allowBlank="1" showErrorMessage="1" sqref="Q1:Q1000">
      <formula1>DATA!$C$2:$C$3</formula1>
    </dataValidation>
    <dataValidation type="decimal" allowBlank="1" showErrorMessage="1" sqref="N1:N1000">
      <formula1>0.0</formula1>
      <formula2>23.0</formula2>
    </dataValidation>
  </dataValidation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9.13"/>
  </cols>
  <sheetData>
    <row r="1" ht="13.5" customHeight="1">
      <c r="A1" s="8">
        <v>1.0</v>
      </c>
      <c r="B1" s="21" t="s">
        <v>27</v>
      </c>
    </row>
    <row r="2" ht="13.5" customHeight="1">
      <c r="A2" s="8">
        <v>2.0</v>
      </c>
      <c r="B2" s="21" t="s">
        <v>28</v>
      </c>
    </row>
    <row r="3" ht="13.5" customHeight="1">
      <c r="A3" s="8">
        <v>3.0</v>
      </c>
      <c r="B3" s="21" t="s">
        <v>29</v>
      </c>
    </row>
    <row r="4" ht="13.5" customHeight="1">
      <c r="A4" s="8">
        <v>4.0</v>
      </c>
      <c r="B4" s="21" t="s">
        <v>30</v>
      </c>
    </row>
    <row r="5" ht="13.5" customHeight="1">
      <c r="A5" s="8">
        <v>5.0</v>
      </c>
      <c r="B5" s="21" t="s">
        <v>31</v>
      </c>
    </row>
    <row r="6" ht="13.5" customHeight="1">
      <c r="A6" s="8">
        <v>6.0</v>
      </c>
      <c r="B6" s="21" t="s">
        <v>32</v>
      </c>
    </row>
    <row r="7" ht="13.5" customHeight="1">
      <c r="A7" s="8">
        <v>7.0</v>
      </c>
      <c r="B7" s="21" t="s">
        <v>33</v>
      </c>
    </row>
    <row r="8" ht="13.5" customHeight="1">
      <c r="A8" s="8">
        <v>8.0</v>
      </c>
      <c r="B8" s="21" t="s">
        <v>34</v>
      </c>
    </row>
    <row r="9" ht="13.5" customHeight="1">
      <c r="A9" s="8">
        <v>9.0</v>
      </c>
      <c r="B9" s="21" t="s">
        <v>35</v>
      </c>
    </row>
    <row r="10" ht="13.5" customHeight="1">
      <c r="A10" s="8">
        <v>10.0</v>
      </c>
      <c r="B10" s="21" t="s">
        <v>36</v>
      </c>
    </row>
    <row r="11" ht="13.5" customHeight="1">
      <c r="A11" s="8">
        <v>11.0</v>
      </c>
      <c r="B11" s="21" t="s">
        <v>37</v>
      </c>
    </row>
    <row r="12" ht="13.5" customHeight="1">
      <c r="A12" s="8">
        <v>12.0</v>
      </c>
      <c r="B12" s="21" t="s">
        <v>38</v>
      </c>
    </row>
    <row r="13" ht="13.5" customHeight="1">
      <c r="A13" s="8">
        <v>13.0</v>
      </c>
      <c r="B13" s="21" t="s">
        <v>39</v>
      </c>
    </row>
    <row r="14" ht="13.5" customHeight="1">
      <c r="A14" s="8">
        <v>14.0</v>
      </c>
      <c r="B14" s="21" t="s">
        <v>40</v>
      </c>
    </row>
    <row r="15" ht="13.5" customHeight="1">
      <c r="A15" s="8">
        <v>15.0</v>
      </c>
      <c r="B15" s="21" t="s">
        <v>41</v>
      </c>
    </row>
    <row r="16" ht="13.5" customHeight="1">
      <c r="A16" s="8">
        <v>16.0</v>
      </c>
      <c r="B16" s="21" t="s">
        <v>42</v>
      </c>
    </row>
    <row r="17" ht="13.5" customHeight="1">
      <c r="A17" s="8">
        <v>17.0</v>
      </c>
      <c r="B17" s="21" t="s">
        <v>43</v>
      </c>
    </row>
    <row r="18" ht="13.5" customHeight="1">
      <c r="A18" s="8">
        <v>18.0</v>
      </c>
      <c r="B18" s="21" t="s">
        <v>44</v>
      </c>
    </row>
    <row r="19" ht="13.5" customHeight="1">
      <c r="A19" s="8">
        <v>19.0</v>
      </c>
      <c r="B19" s="21" t="s">
        <v>45</v>
      </c>
    </row>
    <row r="20" ht="13.5" customHeight="1">
      <c r="A20" s="8">
        <v>20.0</v>
      </c>
      <c r="B20" s="21" t="s">
        <v>46</v>
      </c>
    </row>
    <row r="21" ht="13.5" customHeight="1">
      <c r="A21" s="8">
        <v>21.0</v>
      </c>
      <c r="B21" s="21" t="s">
        <v>47</v>
      </c>
    </row>
    <row r="22" ht="13.5" customHeight="1">
      <c r="A22" s="8">
        <v>22.0</v>
      </c>
      <c r="B22" s="21" t="s">
        <v>48</v>
      </c>
    </row>
    <row r="23" ht="13.5" customHeight="1">
      <c r="A23" s="8">
        <v>23.0</v>
      </c>
      <c r="B23" s="21" t="s">
        <v>49</v>
      </c>
    </row>
    <row r="24" ht="13.5" customHeight="1">
      <c r="B24" s="21" t="s">
        <v>50</v>
      </c>
    </row>
    <row r="25" ht="13.5" customHeight="1">
      <c r="B25" s="21" t="s">
        <v>51</v>
      </c>
    </row>
    <row r="26" ht="13.5" customHeight="1">
      <c r="B26" s="21" t="s">
        <v>52</v>
      </c>
    </row>
    <row r="27" ht="13.5" customHeight="1">
      <c r="B27" s="21" t="s">
        <v>53</v>
      </c>
    </row>
    <row r="28" ht="13.5" customHeight="1">
      <c r="B28" s="21" t="s">
        <v>54</v>
      </c>
    </row>
    <row r="29" ht="13.5" customHeight="1">
      <c r="B29" s="21" t="s">
        <v>55</v>
      </c>
    </row>
    <row r="30" ht="13.5" customHeight="1">
      <c r="B30" s="21" t="s">
        <v>56</v>
      </c>
    </row>
    <row r="31" ht="13.5" customHeight="1">
      <c r="B31" s="21" t="s">
        <v>57</v>
      </c>
    </row>
    <row r="32" ht="13.5" customHeight="1">
      <c r="B32" s="21" t="s">
        <v>58</v>
      </c>
    </row>
    <row r="33" ht="13.5" customHeight="1">
      <c r="B33" s="21" t="s">
        <v>59</v>
      </c>
    </row>
    <row r="34" ht="13.5" customHeight="1">
      <c r="B34" s="21" t="s">
        <v>60</v>
      </c>
    </row>
    <row r="35" ht="13.5" customHeight="1">
      <c r="B35" s="21" t="s">
        <v>61</v>
      </c>
    </row>
    <row r="36" ht="13.5" customHeight="1">
      <c r="B36" s="21" t="s">
        <v>62</v>
      </c>
    </row>
    <row r="37" ht="13.5" customHeight="1">
      <c r="B37" s="21" t="s">
        <v>63</v>
      </c>
    </row>
    <row r="38" ht="13.5" customHeight="1">
      <c r="B38" s="21" t="s">
        <v>64</v>
      </c>
    </row>
    <row r="39" ht="13.5" customHeight="1">
      <c r="B39" s="21" t="s">
        <v>65</v>
      </c>
    </row>
    <row r="40" ht="13.5" customHeight="1">
      <c r="B40" s="21" t="s">
        <v>66</v>
      </c>
    </row>
    <row r="41" ht="13.5" customHeight="1">
      <c r="B41" s="21" t="s">
        <v>67</v>
      </c>
    </row>
    <row r="42" ht="13.5" customHeight="1">
      <c r="B42" s="21" t="s">
        <v>68</v>
      </c>
    </row>
    <row r="43" ht="13.5" customHeight="1">
      <c r="B43" s="21" t="s">
        <v>69</v>
      </c>
    </row>
    <row r="44" ht="13.5" customHeight="1">
      <c r="B44" s="21" t="s">
        <v>70</v>
      </c>
    </row>
    <row r="45" ht="13.5" customHeight="1">
      <c r="B45" s="21" t="s">
        <v>71</v>
      </c>
    </row>
    <row r="46" ht="13.5" customHeight="1">
      <c r="B46" s="21" t="s">
        <v>72</v>
      </c>
    </row>
    <row r="47" ht="13.5" customHeight="1">
      <c r="B47" s="21" t="s">
        <v>73</v>
      </c>
    </row>
    <row r="48" ht="13.5" customHeight="1">
      <c r="B48" s="21" t="s">
        <v>74</v>
      </c>
    </row>
    <row r="49" ht="13.5" customHeight="1">
      <c r="B49" s="21" t="s">
        <v>75</v>
      </c>
    </row>
    <row r="50" ht="13.5" customHeight="1">
      <c r="B50" s="21" t="s">
        <v>76</v>
      </c>
    </row>
    <row r="51" ht="13.5" customHeight="1">
      <c r="B51" s="21" t="s">
        <v>77</v>
      </c>
    </row>
    <row r="52" ht="13.5" customHeight="1">
      <c r="B52" s="21" t="s">
        <v>78</v>
      </c>
    </row>
    <row r="53" ht="13.5" customHeight="1">
      <c r="B53" s="21" t="s">
        <v>79</v>
      </c>
    </row>
    <row r="54" ht="13.5" customHeight="1">
      <c r="B54" s="21" t="s">
        <v>80</v>
      </c>
    </row>
    <row r="55" ht="13.5" customHeight="1">
      <c r="B55" s="21" t="s">
        <v>81</v>
      </c>
    </row>
    <row r="56" ht="13.5" customHeight="1">
      <c r="B56" s="21" t="s">
        <v>82</v>
      </c>
    </row>
    <row r="57" ht="13.5" customHeight="1">
      <c r="B57" s="21" t="s">
        <v>83</v>
      </c>
    </row>
    <row r="58" ht="13.5" customHeight="1">
      <c r="B58" s="21" t="s">
        <v>84</v>
      </c>
    </row>
    <row r="59" ht="13.5" customHeight="1">
      <c r="B59" s="21" t="s">
        <v>85</v>
      </c>
    </row>
    <row r="60" ht="13.5" customHeight="1">
      <c r="B60" s="21" t="s">
        <v>86</v>
      </c>
    </row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55.75"/>
    <col customWidth="1" min="2" max="2" width="9.0"/>
    <col customWidth="1" min="3" max="3" width="15.75"/>
    <col customWidth="1" min="4" max="26" width="9.0"/>
  </cols>
  <sheetData>
    <row r="1" ht="13.5" customHeight="1">
      <c r="A1" s="8" t="s">
        <v>1</v>
      </c>
      <c r="B1" s="8" t="s">
        <v>11</v>
      </c>
      <c r="C1" s="8" t="s">
        <v>16</v>
      </c>
    </row>
    <row r="2" ht="13.5" customHeight="1">
      <c r="A2" s="8" t="s">
        <v>87</v>
      </c>
      <c r="B2" s="8" t="s">
        <v>88</v>
      </c>
      <c r="C2" s="8" t="s">
        <v>89</v>
      </c>
    </row>
    <row r="3" ht="13.5" customHeight="1">
      <c r="A3" s="8" t="s">
        <v>90</v>
      </c>
      <c r="B3" s="8" t="s">
        <v>26</v>
      </c>
      <c r="C3" s="8" t="s">
        <v>91</v>
      </c>
    </row>
    <row r="4" ht="13.5" customHeight="1">
      <c r="A4" s="22" t="s">
        <v>92</v>
      </c>
    </row>
    <row r="5" ht="13.5" customHeight="1">
      <c r="A5" s="22" t="s">
        <v>93</v>
      </c>
    </row>
    <row r="6" ht="13.5" customHeight="1">
      <c r="A6" s="8" t="s">
        <v>94</v>
      </c>
    </row>
    <row r="7" ht="13.5" customHeight="1">
      <c r="A7" s="8" t="s">
        <v>95</v>
      </c>
    </row>
    <row r="8" ht="13.5" customHeight="1">
      <c r="A8" s="8" t="s">
        <v>96</v>
      </c>
    </row>
    <row r="9" ht="13.5" customHeight="1">
      <c r="A9" s="8" t="s">
        <v>97</v>
      </c>
    </row>
    <row r="10" ht="13.5" customHeight="1">
      <c r="A10" s="8" t="s">
        <v>98</v>
      </c>
    </row>
    <row r="11" ht="13.5" customHeight="1">
      <c r="A11" s="8" t="s">
        <v>99</v>
      </c>
    </row>
    <row r="12" ht="13.5" customHeight="1">
      <c r="A12" s="8" t="s">
        <v>100</v>
      </c>
    </row>
    <row r="13" ht="13.5" customHeight="1">
      <c r="A13" s="8" t="s">
        <v>101</v>
      </c>
    </row>
    <row r="14" ht="13.5" customHeight="1">
      <c r="A14" s="8" t="s">
        <v>102</v>
      </c>
    </row>
    <row r="15" ht="13.5" customHeight="1">
      <c r="A15" s="8" t="s">
        <v>103</v>
      </c>
    </row>
    <row r="16" ht="13.5" customHeight="1">
      <c r="A16" s="8" t="s">
        <v>104</v>
      </c>
    </row>
    <row r="17" ht="13.5" customHeight="1">
      <c r="A17" s="8" t="s">
        <v>105</v>
      </c>
    </row>
    <row r="18" ht="13.5" customHeight="1">
      <c r="A18" s="8" t="s">
        <v>106</v>
      </c>
    </row>
    <row r="19" ht="13.5" customHeight="1">
      <c r="A19" s="8" t="s">
        <v>107</v>
      </c>
    </row>
    <row r="20" ht="13.5" customHeight="1">
      <c r="A20" s="8" t="s">
        <v>108</v>
      </c>
    </row>
    <row r="21" ht="13.5" customHeight="1">
      <c r="A21" s="8" t="s">
        <v>20</v>
      </c>
    </row>
    <row r="22" ht="13.5" customHeight="1">
      <c r="A22" s="8" t="s">
        <v>109</v>
      </c>
    </row>
    <row r="23" ht="13.5" customHeight="1">
      <c r="A23" s="8" t="s">
        <v>110</v>
      </c>
    </row>
    <row r="24" ht="13.5" customHeight="1">
      <c r="A24" s="8" t="s">
        <v>111</v>
      </c>
    </row>
    <row r="25" ht="13.5" customHeight="1">
      <c r="A25" s="8" t="s">
        <v>112</v>
      </c>
    </row>
    <row r="26" ht="13.5" customHeight="1">
      <c r="A26" s="8" t="s">
        <v>113</v>
      </c>
    </row>
    <row r="27" ht="13.5" customHeight="1">
      <c r="A27" s="8" t="s">
        <v>114</v>
      </c>
    </row>
    <row r="28" ht="13.5" customHeight="1">
      <c r="A28" s="8" t="s">
        <v>115</v>
      </c>
    </row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autoFilter ref="$A$1:$A$28"/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4.75"/>
    <col customWidth="1" min="2" max="2" width="47.5"/>
    <col customWidth="1" min="3" max="3" width="9.0"/>
    <col customWidth="1" min="4" max="5" width="11.25"/>
    <col customWidth="1" min="6" max="6" width="12.5"/>
    <col customWidth="1" min="7" max="7" width="11.25"/>
    <col customWidth="1" min="8" max="8" width="7.75"/>
    <col customWidth="1" min="9" max="9" width="10.5"/>
    <col customWidth="1" min="10" max="10" width="12.13"/>
    <col customWidth="1" min="11" max="11" width="18.0"/>
    <col customWidth="1" min="12" max="12" width="9.0"/>
    <col customWidth="1" min="13" max="13" width="44.38"/>
    <col customWidth="1" min="14" max="14" width="17.75"/>
    <col customWidth="1" min="15" max="15" width="13.25"/>
    <col customWidth="1" min="16" max="16" width="22.88"/>
    <col customWidth="1" min="17" max="17" width="14.13"/>
    <col customWidth="1" min="18" max="26" width="9.0"/>
  </cols>
  <sheetData>
    <row r="1" ht="13.5" customHeight="1">
      <c r="A1" s="23" t="s">
        <v>116</v>
      </c>
      <c r="B1" s="24" t="s">
        <v>1</v>
      </c>
      <c r="C1" s="25"/>
      <c r="D1" s="26" t="s">
        <v>117</v>
      </c>
      <c r="E1" s="27"/>
      <c r="F1" s="28"/>
      <c r="G1" s="29" t="s">
        <v>118</v>
      </c>
      <c r="H1" s="30"/>
      <c r="I1" s="30"/>
      <c r="J1" s="31"/>
      <c r="K1" s="32" t="s">
        <v>119</v>
      </c>
      <c r="N1" s="33" t="s">
        <v>120</v>
      </c>
      <c r="O1" s="33" t="s">
        <v>121</v>
      </c>
      <c r="P1" s="33" t="s">
        <v>122</v>
      </c>
      <c r="Q1" s="33" t="s">
        <v>123</v>
      </c>
    </row>
    <row r="2" ht="13.5" customHeight="1">
      <c r="A2" s="34"/>
      <c r="B2" s="35"/>
      <c r="C2" s="36"/>
      <c r="D2" s="37" t="s">
        <v>124</v>
      </c>
      <c r="E2" s="38" t="s">
        <v>125</v>
      </c>
      <c r="F2" s="38" t="s">
        <v>126</v>
      </c>
      <c r="G2" s="39" t="s">
        <v>127</v>
      </c>
      <c r="H2" s="39" t="s">
        <v>128</v>
      </c>
      <c r="I2" s="39" t="s">
        <v>129</v>
      </c>
      <c r="J2" s="39" t="s">
        <v>130</v>
      </c>
      <c r="K2" s="40"/>
      <c r="N2" s="33"/>
      <c r="O2" s="33"/>
      <c r="P2" s="33"/>
      <c r="Q2" s="33"/>
    </row>
    <row r="3" ht="13.5" customHeight="1">
      <c r="A3" s="41">
        <v>1.0</v>
      </c>
      <c r="B3" s="42">
        <v>2.0</v>
      </c>
      <c r="C3" s="43"/>
      <c r="D3" s="44" t="s">
        <v>131</v>
      </c>
      <c r="E3" s="45">
        <v>4.0</v>
      </c>
      <c r="F3" s="39" t="s">
        <v>132</v>
      </c>
      <c r="G3" s="45">
        <v>6.0</v>
      </c>
      <c r="H3" s="45">
        <v>7.0</v>
      </c>
      <c r="I3" s="45">
        <v>8.0</v>
      </c>
      <c r="J3" s="46" t="s">
        <v>133</v>
      </c>
      <c r="K3" s="47" t="s">
        <v>134</v>
      </c>
      <c r="N3" s="33"/>
      <c r="O3" s="33"/>
      <c r="P3" s="33"/>
      <c r="Q3" s="33"/>
    </row>
    <row r="4" ht="13.5" customHeight="1">
      <c r="A4" s="48"/>
      <c r="B4" s="49"/>
      <c r="C4" s="49"/>
      <c r="D4" s="50"/>
      <c r="E4" s="50"/>
      <c r="F4" s="50"/>
      <c r="G4" s="51"/>
      <c r="H4" s="51"/>
      <c r="I4" s="51"/>
      <c r="J4" s="51"/>
      <c r="K4" s="52"/>
      <c r="N4" s="33"/>
      <c r="O4" s="33"/>
      <c r="P4" s="33"/>
      <c r="Q4" s="33"/>
    </row>
    <row r="5" ht="13.5" customHeight="1">
      <c r="A5" s="53" t="s">
        <v>135</v>
      </c>
      <c r="B5" s="54" t="s">
        <v>136</v>
      </c>
      <c r="C5" s="55"/>
      <c r="D5" s="55"/>
      <c r="E5" s="55"/>
      <c r="F5" s="55"/>
      <c r="G5" s="55"/>
      <c r="H5" s="55"/>
      <c r="I5" s="55"/>
      <c r="J5" s="55"/>
      <c r="K5" s="56"/>
      <c r="N5" s="33"/>
      <c r="O5" s="33"/>
      <c r="P5" s="33"/>
      <c r="Q5" s="33"/>
    </row>
    <row r="6" ht="13.5" customHeight="1">
      <c r="A6" s="57">
        <v>1.0</v>
      </c>
      <c r="B6" s="58" t="s">
        <v>137</v>
      </c>
      <c r="C6" s="56"/>
      <c r="D6" s="59">
        <f t="shared" ref="D6:D8" si="1">+E6*110%</f>
        <v>60500</v>
      </c>
      <c r="E6" s="60">
        <v>55000.0</v>
      </c>
      <c r="F6" s="61">
        <f t="shared" ref="F6:F8" si="2">E6*10%</f>
        <v>5500</v>
      </c>
      <c r="G6" s="62">
        <v>10000.0</v>
      </c>
      <c r="H6" s="63">
        <v>1.0</v>
      </c>
      <c r="I6" s="63">
        <v>1.0</v>
      </c>
      <c r="J6" s="64">
        <f t="shared" ref="J6:J8" si="3">+G6*(H6+I6)</f>
        <v>20000</v>
      </c>
      <c r="K6" s="65">
        <f t="shared" ref="K6:K8" si="4">+D6+J6</f>
        <v>80500</v>
      </c>
      <c r="N6" s="33"/>
      <c r="O6" s="33"/>
      <c r="P6" s="33"/>
      <c r="Q6" s="33"/>
    </row>
    <row r="7" ht="13.5" customHeight="1">
      <c r="A7" s="57">
        <v>2.0</v>
      </c>
      <c r="B7" s="58" t="s">
        <v>138</v>
      </c>
      <c r="C7" s="56"/>
      <c r="D7" s="59">
        <f t="shared" si="1"/>
        <v>66000</v>
      </c>
      <c r="E7" s="60">
        <v>60000.0</v>
      </c>
      <c r="F7" s="61">
        <f t="shared" si="2"/>
        <v>6000</v>
      </c>
      <c r="G7" s="62">
        <v>10000.0</v>
      </c>
      <c r="H7" s="63">
        <v>1.0</v>
      </c>
      <c r="I7" s="63">
        <v>1.0</v>
      </c>
      <c r="J7" s="64">
        <f t="shared" si="3"/>
        <v>20000</v>
      </c>
      <c r="K7" s="65">
        <f t="shared" si="4"/>
        <v>86000</v>
      </c>
      <c r="N7" s="33"/>
      <c r="O7" s="33"/>
      <c r="P7" s="33"/>
      <c r="Q7" s="33"/>
    </row>
    <row r="8" ht="13.5" customHeight="1">
      <c r="A8" s="66">
        <v>3.0</v>
      </c>
      <c r="B8" s="58" t="s">
        <v>139</v>
      </c>
      <c r="C8" s="56"/>
      <c r="D8" s="59">
        <f t="shared" si="1"/>
        <v>319000</v>
      </c>
      <c r="E8" s="60">
        <v>290000.0</v>
      </c>
      <c r="F8" s="61">
        <f t="shared" si="2"/>
        <v>29000</v>
      </c>
      <c r="G8" s="62">
        <v>10000.0</v>
      </c>
      <c r="H8" s="63">
        <v>1.0</v>
      </c>
      <c r="I8" s="63"/>
      <c r="J8" s="64">
        <f t="shared" si="3"/>
        <v>10000</v>
      </c>
      <c r="K8" s="65">
        <f t="shared" si="4"/>
        <v>329000</v>
      </c>
      <c r="N8" s="33"/>
      <c r="O8" s="33"/>
      <c r="P8" s="33"/>
      <c r="Q8" s="33"/>
    </row>
    <row r="9" ht="13.5" customHeight="1">
      <c r="A9" s="66"/>
      <c r="B9" s="67"/>
      <c r="C9" s="67"/>
      <c r="D9" s="68"/>
      <c r="E9" s="69"/>
      <c r="F9" s="70"/>
      <c r="G9" s="71"/>
      <c r="H9" s="72"/>
      <c r="I9" s="72"/>
      <c r="J9" s="71"/>
      <c r="K9" s="73"/>
      <c r="N9" s="33"/>
      <c r="O9" s="33"/>
      <c r="P9" s="33"/>
      <c r="Q9" s="33"/>
    </row>
    <row r="10" ht="13.5" customHeight="1">
      <c r="A10" s="74" t="s">
        <v>140</v>
      </c>
      <c r="B10" s="54" t="s">
        <v>141</v>
      </c>
      <c r="C10" s="55"/>
      <c r="D10" s="55"/>
      <c r="E10" s="55"/>
      <c r="F10" s="55"/>
      <c r="G10" s="55"/>
      <c r="H10" s="55"/>
      <c r="I10" s="55"/>
      <c r="J10" s="55"/>
      <c r="K10" s="56"/>
      <c r="N10" s="33"/>
      <c r="O10" s="33"/>
      <c r="P10" s="33"/>
      <c r="Q10" s="33"/>
    </row>
    <row r="11" ht="13.5" customHeight="1">
      <c r="A11" s="57">
        <v>1.0</v>
      </c>
      <c r="B11" s="75" t="s">
        <v>142</v>
      </c>
      <c r="C11" s="76"/>
      <c r="D11" s="59">
        <f t="shared" ref="D11:D12" si="5">+E11*110%</f>
        <v>60500</v>
      </c>
      <c r="E11" s="60">
        <v>55000.0</v>
      </c>
      <c r="F11" s="61">
        <f t="shared" ref="F11:F12" si="6">E11*10%</f>
        <v>5500</v>
      </c>
      <c r="G11" s="62">
        <v>10000.0</v>
      </c>
      <c r="H11" s="63">
        <v>1.0</v>
      </c>
      <c r="I11" s="63">
        <v>1.0</v>
      </c>
      <c r="J11" s="64">
        <f t="shared" ref="J11:J12" si="7">+G11*(H11+I11)</f>
        <v>20000</v>
      </c>
      <c r="K11" s="65">
        <f t="shared" ref="K11:K12" si="8">+D11+J11</f>
        <v>80500</v>
      </c>
      <c r="N11" s="33"/>
      <c r="O11" s="33"/>
      <c r="P11" s="33"/>
      <c r="Q11" s="33"/>
    </row>
    <row r="12" ht="13.5" customHeight="1">
      <c r="A12" s="57">
        <f>+A11+1</f>
        <v>2</v>
      </c>
      <c r="B12" s="75" t="s">
        <v>143</v>
      </c>
      <c r="C12" s="76"/>
      <c r="D12" s="59">
        <f t="shared" si="5"/>
        <v>319000</v>
      </c>
      <c r="E12" s="60">
        <v>290000.0</v>
      </c>
      <c r="F12" s="61">
        <f t="shared" si="6"/>
        <v>29000</v>
      </c>
      <c r="G12" s="62">
        <v>10000.0</v>
      </c>
      <c r="H12" s="63">
        <v>1.0</v>
      </c>
      <c r="I12" s="63"/>
      <c r="J12" s="64">
        <f t="shared" si="7"/>
        <v>10000</v>
      </c>
      <c r="K12" s="65">
        <f t="shared" si="8"/>
        <v>329000</v>
      </c>
      <c r="N12" s="33"/>
      <c r="O12" s="33"/>
      <c r="P12" s="33"/>
      <c r="Q12" s="33"/>
    </row>
    <row r="13" ht="13.5" customHeight="1">
      <c r="A13" s="77"/>
      <c r="B13" s="68"/>
      <c r="C13" s="68"/>
      <c r="D13" s="68"/>
      <c r="E13" s="68"/>
      <c r="F13" s="68"/>
      <c r="G13" s="78"/>
      <c r="H13" s="78"/>
      <c r="I13" s="78"/>
      <c r="J13" s="78"/>
      <c r="K13" s="73"/>
      <c r="N13" s="33"/>
      <c r="O13" s="33"/>
      <c r="P13" s="33"/>
      <c r="Q13" s="33"/>
    </row>
    <row r="14" ht="13.5" customHeight="1">
      <c r="A14" s="74" t="s">
        <v>144</v>
      </c>
      <c r="B14" s="54" t="s">
        <v>145</v>
      </c>
      <c r="C14" s="55"/>
      <c r="D14" s="55"/>
      <c r="E14" s="55"/>
      <c r="F14" s="55"/>
      <c r="G14" s="55"/>
      <c r="H14" s="55"/>
      <c r="I14" s="55"/>
      <c r="J14" s="55"/>
      <c r="K14" s="56"/>
      <c r="L14" s="8" t="s">
        <v>20</v>
      </c>
      <c r="N14" s="79"/>
      <c r="O14" s="33"/>
      <c r="P14" s="33"/>
      <c r="Q14" s="33"/>
    </row>
    <row r="15" ht="13.5" customHeight="1">
      <c r="A15" s="57">
        <v>1.0</v>
      </c>
      <c r="B15" s="80" t="s">
        <v>146</v>
      </c>
      <c r="C15" s="76"/>
      <c r="D15" s="59">
        <f t="shared" ref="D15:D42" si="9">+E15*110%</f>
        <v>480700</v>
      </c>
      <c r="E15" s="60">
        <v>437000.0</v>
      </c>
      <c r="F15" s="61">
        <f t="shared" ref="F15:F42" si="10">E15*10%</f>
        <v>43700</v>
      </c>
      <c r="G15" s="62">
        <v>10000.0</v>
      </c>
      <c r="H15" s="63">
        <v>1.0</v>
      </c>
      <c r="I15" s="63">
        <v>3.0</v>
      </c>
      <c r="J15" s="64">
        <f t="shared" ref="J15:J42" si="11">+G15*(H15+I15)</f>
        <v>40000</v>
      </c>
      <c r="K15" s="65">
        <f t="shared" ref="K15:K42" si="12">+D15+J15</f>
        <v>520700</v>
      </c>
      <c r="M15" s="8" t="str">
        <f t="shared" ref="M15:M42" si="13">$L$14</f>
        <v>XE Ô TÔ KHÔNG KD VẬN TẢI &amp; XE BUÝT</v>
      </c>
      <c r="N15" s="33" t="s">
        <v>147</v>
      </c>
      <c r="O15" s="33">
        <v>4.0</v>
      </c>
      <c r="P15" s="33" t="s">
        <v>147</v>
      </c>
      <c r="Q15" s="33">
        <f t="shared" ref="Q15:Q42" si="14">H15+I15</f>
        <v>4</v>
      </c>
      <c r="R15" s="8" t="str">
        <f t="shared" ref="R15:R42" si="15">"new AutomobilesFullTypeObject() { DisplayName = """&amp;M15&amp;""", AutomobileType = AutomobileTypeEnum."&amp;N15&amp;", Attributes_Seat = """&amp;O15&amp;""", Attributes_Category = AutomobileTypeCategoryEnum."&amp;P15&amp;" },"</f>
        <v>new AutomobilesFullTypeObject() { DisplayName = "XE Ô TÔ KHÔNG KD VẬN TẢI &amp; XE BUÝT", AutomobileType = AutomobileTypeEnum.NON_COMMERCIAL, Attributes_Seat = "4", Attributes_Category = AutomobileTypeCategoryEnum.NON_COMMERCIAL },</v>
      </c>
    </row>
    <row r="16" ht="13.5" customHeight="1">
      <c r="A16" s="57">
        <f t="shared" ref="A16:A42" si="16">+A15+1</f>
        <v>2</v>
      </c>
      <c r="B16" s="80" t="s">
        <v>148</v>
      </c>
      <c r="C16" s="76"/>
      <c r="D16" s="59">
        <f t="shared" si="9"/>
        <v>480700</v>
      </c>
      <c r="E16" s="60">
        <v>437000.0</v>
      </c>
      <c r="F16" s="61">
        <f t="shared" si="10"/>
        <v>43700</v>
      </c>
      <c r="G16" s="62">
        <v>10000.0</v>
      </c>
      <c r="H16" s="63">
        <v>1.0</v>
      </c>
      <c r="I16" s="63">
        <v>4.0</v>
      </c>
      <c r="J16" s="64">
        <f t="shared" si="11"/>
        <v>50000</v>
      </c>
      <c r="K16" s="65">
        <f t="shared" si="12"/>
        <v>530700</v>
      </c>
      <c r="M16" s="8" t="str">
        <f t="shared" si="13"/>
        <v>XE Ô TÔ KHÔNG KD VẬN TẢI &amp; XE BUÝT</v>
      </c>
      <c r="N16" s="33" t="s">
        <v>147</v>
      </c>
      <c r="O16" s="33">
        <f t="shared" ref="O16:O42" si="17">H16+I16</f>
        <v>5</v>
      </c>
      <c r="P16" s="33" t="s">
        <v>147</v>
      </c>
      <c r="Q16" s="33">
        <f t="shared" si="14"/>
        <v>5</v>
      </c>
      <c r="R16" s="8" t="str">
        <f t="shared" si="15"/>
        <v>new AutomobilesFullTypeObject() { DisplayName = "XE Ô TÔ KHÔNG KD VẬN TẢI &amp; XE BUÝT", AutomobileType = AutomobileTypeEnum.NON_COMMERCIAL, Attributes_Seat = "5", Attributes_Category = AutomobileTypeCategoryEnum.NON_COMMERCIAL },</v>
      </c>
    </row>
    <row r="17" ht="13.5" customHeight="1">
      <c r="A17" s="57">
        <f t="shared" si="16"/>
        <v>3</v>
      </c>
      <c r="B17" s="80" t="s">
        <v>149</v>
      </c>
      <c r="C17" s="76"/>
      <c r="D17" s="59">
        <f t="shared" si="9"/>
        <v>873400</v>
      </c>
      <c r="E17" s="60">
        <v>794000.0</v>
      </c>
      <c r="F17" s="61">
        <f t="shared" si="10"/>
        <v>79400</v>
      </c>
      <c r="G17" s="62">
        <v>10000.0</v>
      </c>
      <c r="H17" s="63">
        <v>1.0</v>
      </c>
      <c r="I17" s="63">
        <v>5.0</v>
      </c>
      <c r="J17" s="64">
        <f t="shared" si="11"/>
        <v>60000</v>
      </c>
      <c r="K17" s="65">
        <f t="shared" si="12"/>
        <v>933400</v>
      </c>
      <c r="M17" s="8" t="str">
        <f t="shared" si="13"/>
        <v>XE Ô TÔ KHÔNG KD VẬN TẢI &amp; XE BUÝT</v>
      </c>
      <c r="N17" s="33" t="s">
        <v>147</v>
      </c>
      <c r="O17" s="33">
        <f t="shared" si="17"/>
        <v>6</v>
      </c>
      <c r="P17" s="33" t="s">
        <v>147</v>
      </c>
      <c r="Q17" s="33">
        <f t="shared" si="14"/>
        <v>6</v>
      </c>
      <c r="R17" s="8" t="str">
        <f t="shared" si="15"/>
        <v>new AutomobilesFullTypeObject() { DisplayName = "XE Ô TÔ KHÔNG KD VẬN TẢI &amp; XE BUÝT", AutomobileType = AutomobileTypeEnum.NON_COMMERCIAL, Attributes_Seat = "6", Attributes_Category = AutomobileTypeCategoryEnum.NON_COMMERCIAL },</v>
      </c>
    </row>
    <row r="18" ht="13.5" customHeight="1">
      <c r="A18" s="57">
        <f t="shared" si="16"/>
        <v>4</v>
      </c>
      <c r="B18" s="80" t="s">
        <v>150</v>
      </c>
      <c r="C18" s="76"/>
      <c r="D18" s="59">
        <f t="shared" si="9"/>
        <v>873400</v>
      </c>
      <c r="E18" s="60">
        <v>794000.0</v>
      </c>
      <c r="F18" s="61">
        <f t="shared" si="10"/>
        <v>79400</v>
      </c>
      <c r="G18" s="62">
        <v>10000.0</v>
      </c>
      <c r="H18" s="63">
        <v>1.0</v>
      </c>
      <c r="I18" s="63">
        <v>6.0</v>
      </c>
      <c r="J18" s="64">
        <f t="shared" si="11"/>
        <v>70000</v>
      </c>
      <c r="K18" s="65">
        <f t="shared" si="12"/>
        <v>943400</v>
      </c>
      <c r="M18" s="8" t="str">
        <f t="shared" si="13"/>
        <v>XE Ô TÔ KHÔNG KD VẬN TẢI &amp; XE BUÝT</v>
      </c>
      <c r="N18" s="33" t="s">
        <v>147</v>
      </c>
      <c r="O18" s="33">
        <f t="shared" si="17"/>
        <v>7</v>
      </c>
      <c r="P18" s="33" t="s">
        <v>147</v>
      </c>
      <c r="Q18" s="33">
        <f t="shared" si="14"/>
        <v>7</v>
      </c>
      <c r="R18" s="8" t="str">
        <f t="shared" si="15"/>
        <v>new AutomobilesFullTypeObject() { DisplayName = "XE Ô TÔ KHÔNG KD VẬN TẢI &amp; XE BUÝT", AutomobileType = AutomobileTypeEnum.NON_COMMERCIAL, Attributes_Seat = "7", Attributes_Category = AutomobileTypeCategoryEnum.NON_COMMERCIAL },</v>
      </c>
    </row>
    <row r="19" ht="13.5" customHeight="1">
      <c r="A19" s="57">
        <f t="shared" si="16"/>
        <v>5</v>
      </c>
      <c r="B19" s="80" t="s">
        <v>151</v>
      </c>
      <c r="C19" s="76"/>
      <c r="D19" s="59">
        <f t="shared" si="9"/>
        <v>873400</v>
      </c>
      <c r="E19" s="60">
        <v>794000.0</v>
      </c>
      <c r="F19" s="61">
        <f t="shared" si="10"/>
        <v>79400</v>
      </c>
      <c r="G19" s="62">
        <v>10000.0</v>
      </c>
      <c r="H19" s="63">
        <v>1.0</v>
      </c>
      <c r="I19" s="63">
        <v>7.0</v>
      </c>
      <c r="J19" s="64">
        <f t="shared" si="11"/>
        <v>80000</v>
      </c>
      <c r="K19" s="65">
        <f t="shared" si="12"/>
        <v>953400</v>
      </c>
      <c r="M19" s="8" t="str">
        <f t="shared" si="13"/>
        <v>XE Ô TÔ KHÔNG KD VẬN TẢI &amp; XE BUÝT</v>
      </c>
      <c r="N19" s="33" t="s">
        <v>147</v>
      </c>
      <c r="O19" s="33">
        <f t="shared" si="17"/>
        <v>8</v>
      </c>
      <c r="P19" s="33" t="s">
        <v>147</v>
      </c>
      <c r="Q19" s="33">
        <f t="shared" si="14"/>
        <v>8</v>
      </c>
      <c r="R19" s="8" t="str">
        <f t="shared" si="15"/>
        <v>new AutomobilesFullTypeObject() { DisplayName = "XE Ô TÔ KHÔNG KD VẬN TẢI &amp; XE BUÝT", AutomobileType = AutomobileTypeEnum.NON_COMMERCIAL, Attributes_Seat = "8", Attributes_Category = AutomobileTypeCategoryEnum.NON_COMMERCIAL },</v>
      </c>
    </row>
    <row r="20" ht="13.5" customHeight="1">
      <c r="A20" s="57">
        <f t="shared" si="16"/>
        <v>6</v>
      </c>
      <c r="B20" s="80" t="s">
        <v>152</v>
      </c>
      <c r="C20" s="76"/>
      <c r="D20" s="59">
        <f t="shared" si="9"/>
        <v>873400</v>
      </c>
      <c r="E20" s="60">
        <v>794000.0</v>
      </c>
      <c r="F20" s="61">
        <f t="shared" si="10"/>
        <v>79400</v>
      </c>
      <c r="G20" s="62">
        <v>10000.0</v>
      </c>
      <c r="H20" s="63">
        <v>1.0</v>
      </c>
      <c r="I20" s="63">
        <v>8.0</v>
      </c>
      <c r="J20" s="64">
        <f t="shared" si="11"/>
        <v>90000</v>
      </c>
      <c r="K20" s="65">
        <f t="shared" si="12"/>
        <v>963400</v>
      </c>
      <c r="M20" s="8" t="str">
        <f t="shared" si="13"/>
        <v>XE Ô TÔ KHÔNG KD VẬN TẢI &amp; XE BUÝT</v>
      </c>
      <c r="N20" s="33" t="s">
        <v>147</v>
      </c>
      <c r="O20" s="33">
        <f t="shared" si="17"/>
        <v>9</v>
      </c>
      <c r="P20" s="33" t="s">
        <v>147</v>
      </c>
      <c r="Q20" s="33">
        <f t="shared" si="14"/>
        <v>9</v>
      </c>
      <c r="R20" s="8" t="str">
        <f t="shared" si="15"/>
        <v>new AutomobilesFullTypeObject() { DisplayName = "XE Ô TÔ KHÔNG KD VẬN TẢI &amp; XE BUÝT", AutomobileType = AutomobileTypeEnum.NON_COMMERCIAL, Attributes_Seat = "9", Attributes_Category = AutomobileTypeCategoryEnum.NON_COMMERCIAL },</v>
      </c>
    </row>
    <row r="21" ht="13.5" customHeight="1">
      <c r="A21" s="57">
        <f t="shared" si="16"/>
        <v>7</v>
      </c>
      <c r="B21" s="80" t="s">
        <v>153</v>
      </c>
      <c r="C21" s="76"/>
      <c r="D21" s="59">
        <f t="shared" si="9"/>
        <v>873400</v>
      </c>
      <c r="E21" s="60">
        <v>794000.0</v>
      </c>
      <c r="F21" s="61">
        <f t="shared" si="10"/>
        <v>79400</v>
      </c>
      <c r="G21" s="62">
        <v>10000.0</v>
      </c>
      <c r="H21" s="63">
        <v>1.0</v>
      </c>
      <c r="I21" s="63">
        <v>9.0</v>
      </c>
      <c r="J21" s="64">
        <f t="shared" si="11"/>
        <v>100000</v>
      </c>
      <c r="K21" s="65">
        <f t="shared" si="12"/>
        <v>973400</v>
      </c>
      <c r="M21" s="8" t="str">
        <f t="shared" si="13"/>
        <v>XE Ô TÔ KHÔNG KD VẬN TẢI &amp; XE BUÝT</v>
      </c>
      <c r="N21" s="33" t="s">
        <v>147</v>
      </c>
      <c r="O21" s="33">
        <f t="shared" si="17"/>
        <v>10</v>
      </c>
      <c r="P21" s="33" t="s">
        <v>147</v>
      </c>
      <c r="Q21" s="33">
        <f t="shared" si="14"/>
        <v>10</v>
      </c>
      <c r="R21" s="8" t="str">
        <f t="shared" si="15"/>
        <v>new AutomobilesFullTypeObject() { DisplayName = "XE Ô TÔ KHÔNG KD VẬN TẢI &amp; XE BUÝT", AutomobileType = AutomobileTypeEnum.NON_COMMERCIAL, Attributes_Seat = "10", Attributes_Category = AutomobileTypeCategoryEnum.NON_COMMERCIAL },</v>
      </c>
    </row>
    <row r="22" ht="13.5" customHeight="1">
      <c r="A22" s="57">
        <f t="shared" si="16"/>
        <v>8</v>
      </c>
      <c r="B22" s="80" t="s">
        <v>154</v>
      </c>
      <c r="C22" s="76"/>
      <c r="D22" s="59">
        <f t="shared" si="9"/>
        <v>873400</v>
      </c>
      <c r="E22" s="60">
        <v>794000.0</v>
      </c>
      <c r="F22" s="61">
        <f t="shared" si="10"/>
        <v>79400</v>
      </c>
      <c r="G22" s="62">
        <v>10000.0</v>
      </c>
      <c r="H22" s="63">
        <v>1.0</v>
      </c>
      <c r="I22" s="63">
        <v>10.0</v>
      </c>
      <c r="J22" s="64">
        <f t="shared" si="11"/>
        <v>110000</v>
      </c>
      <c r="K22" s="65">
        <f t="shared" si="12"/>
        <v>983400</v>
      </c>
      <c r="M22" s="8" t="str">
        <f t="shared" si="13"/>
        <v>XE Ô TÔ KHÔNG KD VẬN TẢI &amp; XE BUÝT</v>
      </c>
      <c r="N22" s="33" t="s">
        <v>147</v>
      </c>
      <c r="O22" s="33">
        <f t="shared" si="17"/>
        <v>11</v>
      </c>
      <c r="P22" s="33" t="s">
        <v>147</v>
      </c>
      <c r="Q22" s="33">
        <f t="shared" si="14"/>
        <v>11</v>
      </c>
      <c r="R22" s="8" t="str">
        <f t="shared" si="15"/>
        <v>new AutomobilesFullTypeObject() { DisplayName = "XE Ô TÔ KHÔNG KD VẬN TẢI &amp; XE BUÝT", AutomobileType = AutomobileTypeEnum.NON_COMMERCIAL, Attributes_Seat = "11", Attributes_Category = AutomobileTypeCategoryEnum.NON_COMMERCIAL },</v>
      </c>
    </row>
    <row r="23" ht="13.5" customHeight="1">
      <c r="A23" s="57">
        <f t="shared" si="16"/>
        <v>9</v>
      </c>
      <c r="B23" s="80" t="s">
        <v>155</v>
      </c>
      <c r="C23" s="76"/>
      <c r="D23" s="59">
        <f t="shared" si="9"/>
        <v>1397000</v>
      </c>
      <c r="E23" s="60">
        <v>1270000.0</v>
      </c>
      <c r="F23" s="61">
        <f t="shared" si="10"/>
        <v>127000</v>
      </c>
      <c r="G23" s="62">
        <v>10000.0</v>
      </c>
      <c r="H23" s="63">
        <v>1.0</v>
      </c>
      <c r="I23" s="63">
        <v>11.0</v>
      </c>
      <c r="J23" s="64">
        <f t="shared" si="11"/>
        <v>120000</v>
      </c>
      <c r="K23" s="65">
        <f t="shared" si="12"/>
        <v>1517000</v>
      </c>
      <c r="M23" s="8" t="str">
        <f t="shared" si="13"/>
        <v>XE Ô TÔ KHÔNG KD VẬN TẢI &amp; XE BUÝT</v>
      </c>
      <c r="N23" s="33" t="s">
        <v>147</v>
      </c>
      <c r="O23" s="33">
        <f t="shared" si="17"/>
        <v>12</v>
      </c>
      <c r="P23" s="33" t="s">
        <v>147</v>
      </c>
      <c r="Q23" s="33">
        <f t="shared" si="14"/>
        <v>12</v>
      </c>
      <c r="R23" s="8" t="str">
        <f t="shared" si="15"/>
        <v>new AutomobilesFullTypeObject() { DisplayName = "XE Ô TÔ KHÔNG KD VẬN TẢI &amp; XE BUÝT", AutomobileType = AutomobileTypeEnum.NON_COMMERCIAL, Attributes_Seat = "12", Attributes_Category = AutomobileTypeCategoryEnum.NON_COMMERCIAL },</v>
      </c>
    </row>
    <row r="24" ht="13.5" customHeight="1">
      <c r="A24" s="57">
        <f t="shared" si="16"/>
        <v>10</v>
      </c>
      <c r="B24" s="80" t="s">
        <v>156</v>
      </c>
      <c r="C24" s="76"/>
      <c r="D24" s="59">
        <f t="shared" si="9"/>
        <v>1397000</v>
      </c>
      <c r="E24" s="60">
        <v>1270000.0</v>
      </c>
      <c r="F24" s="61">
        <f t="shared" si="10"/>
        <v>127000</v>
      </c>
      <c r="G24" s="62">
        <v>10000.0</v>
      </c>
      <c r="H24" s="63">
        <v>2.0</v>
      </c>
      <c r="I24" s="63">
        <v>13.0</v>
      </c>
      <c r="J24" s="64">
        <f t="shared" si="11"/>
        <v>150000</v>
      </c>
      <c r="K24" s="65">
        <f t="shared" si="12"/>
        <v>1547000</v>
      </c>
      <c r="M24" s="8" t="str">
        <f t="shared" si="13"/>
        <v>XE Ô TÔ KHÔNG KD VẬN TẢI &amp; XE BUÝT</v>
      </c>
      <c r="N24" s="33" t="s">
        <v>147</v>
      </c>
      <c r="O24" s="33">
        <f t="shared" si="17"/>
        <v>15</v>
      </c>
      <c r="P24" s="33" t="s">
        <v>147</v>
      </c>
      <c r="Q24" s="33">
        <f t="shared" si="14"/>
        <v>15</v>
      </c>
      <c r="R24" s="8" t="str">
        <f t="shared" si="15"/>
        <v>new AutomobilesFullTypeObject() { DisplayName = "XE Ô TÔ KHÔNG KD VẬN TẢI &amp; XE BUÝT", AutomobileType = AutomobileTypeEnum.NON_COMMERCIAL, Attributes_Seat = "15", Attributes_Category = AutomobileTypeCategoryEnum.NON_COMMERCIAL },</v>
      </c>
    </row>
    <row r="25" ht="13.5" customHeight="1">
      <c r="A25" s="57">
        <f t="shared" si="16"/>
        <v>11</v>
      </c>
      <c r="B25" s="80" t="s">
        <v>157</v>
      </c>
      <c r="C25" s="76"/>
      <c r="D25" s="59">
        <f t="shared" si="9"/>
        <v>1397000</v>
      </c>
      <c r="E25" s="60">
        <v>1270000.0</v>
      </c>
      <c r="F25" s="61">
        <f t="shared" si="10"/>
        <v>127000</v>
      </c>
      <c r="G25" s="62">
        <v>10000.0</v>
      </c>
      <c r="H25" s="63">
        <v>2.0</v>
      </c>
      <c r="I25" s="63">
        <v>14.0</v>
      </c>
      <c r="J25" s="64">
        <f t="shared" si="11"/>
        <v>160000</v>
      </c>
      <c r="K25" s="65">
        <f t="shared" si="12"/>
        <v>1557000</v>
      </c>
      <c r="M25" s="8" t="str">
        <f t="shared" si="13"/>
        <v>XE Ô TÔ KHÔNG KD VẬN TẢI &amp; XE BUÝT</v>
      </c>
      <c r="N25" s="33" t="s">
        <v>147</v>
      </c>
      <c r="O25" s="33">
        <f t="shared" si="17"/>
        <v>16</v>
      </c>
      <c r="P25" s="33" t="s">
        <v>147</v>
      </c>
      <c r="Q25" s="33">
        <f t="shared" si="14"/>
        <v>16</v>
      </c>
      <c r="R25" s="8" t="str">
        <f t="shared" si="15"/>
        <v>new AutomobilesFullTypeObject() { DisplayName = "XE Ô TÔ KHÔNG KD VẬN TẢI &amp; XE BUÝT", AutomobileType = AutomobileTypeEnum.NON_COMMERCIAL, Attributes_Seat = "16", Attributes_Category = AutomobileTypeCategoryEnum.NON_COMMERCIAL },</v>
      </c>
    </row>
    <row r="26" ht="13.5" customHeight="1">
      <c r="A26" s="57">
        <f t="shared" si="16"/>
        <v>12</v>
      </c>
      <c r="B26" s="80" t="s">
        <v>158</v>
      </c>
      <c r="C26" s="76"/>
      <c r="D26" s="59">
        <f t="shared" si="9"/>
        <v>1397000</v>
      </c>
      <c r="E26" s="60">
        <v>1270000.0</v>
      </c>
      <c r="F26" s="61">
        <f t="shared" si="10"/>
        <v>127000</v>
      </c>
      <c r="G26" s="62">
        <v>10000.0</v>
      </c>
      <c r="H26" s="63">
        <v>2.0</v>
      </c>
      <c r="I26" s="63">
        <v>18.0</v>
      </c>
      <c r="J26" s="64">
        <f t="shared" si="11"/>
        <v>200000</v>
      </c>
      <c r="K26" s="65">
        <f t="shared" si="12"/>
        <v>1597000</v>
      </c>
      <c r="M26" s="8" t="str">
        <f t="shared" si="13"/>
        <v>XE Ô TÔ KHÔNG KD VẬN TẢI &amp; XE BUÝT</v>
      </c>
      <c r="N26" s="33" t="s">
        <v>147</v>
      </c>
      <c r="O26" s="33">
        <f t="shared" si="17"/>
        <v>20</v>
      </c>
      <c r="P26" s="33" t="s">
        <v>147</v>
      </c>
      <c r="Q26" s="33">
        <f t="shared" si="14"/>
        <v>20</v>
      </c>
      <c r="R26" s="8" t="str">
        <f t="shared" si="15"/>
        <v>new AutomobilesFullTypeObject() { DisplayName = "XE Ô TÔ KHÔNG KD VẬN TẢI &amp; XE BUÝT", AutomobileType = AutomobileTypeEnum.NON_COMMERCIAL, Attributes_Seat = "20", Attributes_Category = AutomobileTypeCategoryEnum.NON_COMMERCIAL },</v>
      </c>
    </row>
    <row r="27" ht="13.5" customHeight="1">
      <c r="A27" s="57">
        <f t="shared" si="16"/>
        <v>13</v>
      </c>
      <c r="B27" s="80" t="s">
        <v>159</v>
      </c>
      <c r="C27" s="76"/>
      <c r="D27" s="59">
        <f t="shared" si="9"/>
        <v>1397000</v>
      </c>
      <c r="E27" s="60">
        <v>1270000.0</v>
      </c>
      <c r="F27" s="61">
        <f t="shared" si="10"/>
        <v>127000</v>
      </c>
      <c r="G27" s="62">
        <v>10000.0</v>
      </c>
      <c r="H27" s="63">
        <v>2.0</v>
      </c>
      <c r="I27" s="63">
        <v>22.0</v>
      </c>
      <c r="J27" s="64">
        <f t="shared" si="11"/>
        <v>240000</v>
      </c>
      <c r="K27" s="65">
        <f t="shared" si="12"/>
        <v>1637000</v>
      </c>
      <c r="M27" s="8" t="str">
        <f t="shared" si="13"/>
        <v>XE Ô TÔ KHÔNG KD VẬN TẢI &amp; XE BUÝT</v>
      </c>
      <c r="N27" s="33" t="s">
        <v>147</v>
      </c>
      <c r="O27" s="33">
        <f t="shared" si="17"/>
        <v>24</v>
      </c>
      <c r="P27" s="33" t="s">
        <v>147</v>
      </c>
      <c r="Q27" s="33">
        <f t="shared" si="14"/>
        <v>24</v>
      </c>
      <c r="R27" s="8" t="str">
        <f t="shared" si="15"/>
        <v>new AutomobilesFullTypeObject() { DisplayName = "XE Ô TÔ KHÔNG KD VẬN TẢI &amp; XE BUÝT", AutomobileType = AutomobileTypeEnum.NON_COMMERCIAL, Attributes_Seat = "24", Attributes_Category = AutomobileTypeCategoryEnum.NON_COMMERCIAL },</v>
      </c>
    </row>
    <row r="28" ht="13.5" customHeight="1">
      <c r="A28" s="57">
        <f t="shared" si="16"/>
        <v>14</v>
      </c>
      <c r="B28" s="80" t="s">
        <v>160</v>
      </c>
      <c r="C28" s="76"/>
      <c r="D28" s="59">
        <f t="shared" si="9"/>
        <v>2007500</v>
      </c>
      <c r="E28" s="60">
        <v>1825000.0</v>
      </c>
      <c r="F28" s="61">
        <f t="shared" si="10"/>
        <v>182500</v>
      </c>
      <c r="G28" s="62">
        <v>10000.0</v>
      </c>
      <c r="H28" s="63">
        <v>2.0</v>
      </c>
      <c r="I28" s="63">
        <v>23.0</v>
      </c>
      <c r="J28" s="64">
        <f t="shared" si="11"/>
        <v>250000</v>
      </c>
      <c r="K28" s="65">
        <f t="shared" si="12"/>
        <v>2257500</v>
      </c>
      <c r="M28" s="8" t="str">
        <f t="shared" si="13"/>
        <v>XE Ô TÔ KHÔNG KD VẬN TẢI &amp; XE BUÝT</v>
      </c>
      <c r="N28" s="33" t="s">
        <v>147</v>
      </c>
      <c r="O28" s="33">
        <f t="shared" si="17"/>
        <v>25</v>
      </c>
      <c r="P28" s="33" t="s">
        <v>147</v>
      </c>
      <c r="Q28" s="33">
        <f t="shared" si="14"/>
        <v>25</v>
      </c>
      <c r="R28" s="8" t="str">
        <f t="shared" si="15"/>
        <v>new AutomobilesFullTypeObject() { DisplayName = "XE Ô TÔ KHÔNG KD VẬN TẢI &amp; XE BUÝT", AutomobileType = AutomobileTypeEnum.NON_COMMERCIAL, Attributes_Seat = "25", Attributes_Category = AutomobileTypeCategoryEnum.NON_COMMERCIAL },</v>
      </c>
    </row>
    <row r="29" ht="13.5" customHeight="1">
      <c r="A29" s="57">
        <f t="shared" si="16"/>
        <v>15</v>
      </c>
      <c r="B29" s="80" t="s">
        <v>161</v>
      </c>
      <c r="C29" s="76"/>
      <c r="D29" s="59">
        <f t="shared" si="9"/>
        <v>2007500</v>
      </c>
      <c r="E29" s="60">
        <v>1825000.0</v>
      </c>
      <c r="F29" s="61">
        <f t="shared" si="10"/>
        <v>182500</v>
      </c>
      <c r="G29" s="62">
        <v>10000.0</v>
      </c>
      <c r="H29" s="63">
        <v>2.0</v>
      </c>
      <c r="I29" s="63">
        <v>26.0</v>
      </c>
      <c r="J29" s="64">
        <f t="shared" si="11"/>
        <v>280000</v>
      </c>
      <c r="K29" s="65">
        <f t="shared" si="12"/>
        <v>2287500</v>
      </c>
      <c r="M29" s="8" t="str">
        <f t="shared" si="13"/>
        <v>XE Ô TÔ KHÔNG KD VẬN TẢI &amp; XE BUÝT</v>
      </c>
      <c r="N29" s="33" t="s">
        <v>147</v>
      </c>
      <c r="O29" s="33">
        <f t="shared" si="17"/>
        <v>28</v>
      </c>
      <c r="P29" s="33" t="s">
        <v>147</v>
      </c>
      <c r="Q29" s="33">
        <f t="shared" si="14"/>
        <v>28</v>
      </c>
      <c r="R29" s="8" t="str">
        <f t="shared" si="15"/>
        <v>new AutomobilesFullTypeObject() { DisplayName = "XE Ô TÔ KHÔNG KD VẬN TẢI &amp; XE BUÝT", AutomobileType = AutomobileTypeEnum.NON_COMMERCIAL, Attributes_Seat = "28", Attributes_Category = AutomobileTypeCategoryEnum.NON_COMMERCIAL },</v>
      </c>
    </row>
    <row r="30" ht="13.5" customHeight="1">
      <c r="A30" s="57">
        <f t="shared" si="16"/>
        <v>16</v>
      </c>
      <c r="B30" s="80" t="s">
        <v>162</v>
      </c>
      <c r="C30" s="76"/>
      <c r="D30" s="59">
        <f t="shared" si="9"/>
        <v>2007500</v>
      </c>
      <c r="E30" s="60">
        <v>1825000.0</v>
      </c>
      <c r="F30" s="61">
        <f t="shared" si="10"/>
        <v>182500</v>
      </c>
      <c r="G30" s="62">
        <v>10000.0</v>
      </c>
      <c r="H30" s="63">
        <v>2.0</v>
      </c>
      <c r="I30" s="63">
        <v>27.0</v>
      </c>
      <c r="J30" s="64">
        <f t="shared" si="11"/>
        <v>290000</v>
      </c>
      <c r="K30" s="65">
        <f t="shared" si="12"/>
        <v>2297500</v>
      </c>
      <c r="M30" s="8" t="str">
        <f t="shared" si="13"/>
        <v>XE Ô TÔ KHÔNG KD VẬN TẢI &amp; XE BUÝT</v>
      </c>
      <c r="N30" s="33" t="s">
        <v>147</v>
      </c>
      <c r="O30" s="33">
        <f t="shared" si="17"/>
        <v>29</v>
      </c>
      <c r="P30" s="33" t="s">
        <v>147</v>
      </c>
      <c r="Q30" s="33">
        <f t="shared" si="14"/>
        <v>29</v>
      </c>
      <c r="R30" s="8" t="str">
        <f t="shared" si="15"/>
        <v>new AutomobilesFullTypeObject() { DisplayName = "XE Ô TÔ KHÔNG KD VẬN TẢI &amp; XE BUÝT", AutomobileType = AutomobileTypeEnum.NON_COMMERCIAL, Attributes_Seat = "29", Attributes_Category = AutomobileTypeCategoryEnum.NON_COMMERCIAL },</v>
      </c>
    </row>
    <row r="31" ht="13.5" customHeight="1">
      <c r="A31" s="57">
        <f t="shared" si="16"/>
        <v>17</v>
      </c>
      <c r="B31" s="80" t="s">
        <v>163</v>
      </c>
      <c r="C31" s="76"/>
      <c r="D31" s="59">
        <f t="shared" si="9"/>
        <v>2007500</v>
      </c>
      <c r="E31" s="60">
        <v>1825000.0</v>
      </c>
      <c r="F31" s="61">
        <f t="shared" si="10"/>
        <v>182500</v>
      </c>
      <c r="G31" s="62">
        <v>10000.0</v>
      </c>
      <c r="H31" s="63">
        <v>2.0</v>
      </c>
      <c r="I31" s="63">
        <v>28.0</v>
      </c>
      <c r="J31" s="64">
        <f t="shared" si="11"/>
        <v>300000</v>
      </c>
      <c r="K31" s="65">
        <f t="shared" si="12"/>
        <v>2307500</v>
      </c>
      <c r="M31" s="8" t="str">
        <f t="shared" si="13"/>
        <v>XE Ô TÔ KHÔNG KD VẬN TẢI &amp; XE BUÝT</v>
      </c>
      <c r="N31" s="33" t="s">
        <v>147</v>
      </c>
      <c r="O31" s="33">
        <f t="shared" si="17"/>
        <v>30</v>
      </c>
      <c r="P31" s="33" t="s">
        <v>147</v>
      </c>
      <c r="Q31" s="33">
        <f t="shared" si="14"/>
        <v>30</v>
      </c>
      <c r="R31" s="8" t="str">
        <f t="shared" si="15"/>
        <v>new AutomobilesFullTypeObject() { DisplayName = "XE Ô TÔ KHÔNG KD VẬN TẢI &amp; XE BUÝT", AutomobileType = AutomobileTypeEnum.NON_COMMERCIAL, Attributes_Seat = "30", Attributes_Category = AutomobileTypeCategoryEnum.NON_COMMERCIAL },</v>
      </c>
    </row>
    <row r="32" ht="13.5" customHeight="1">
      <c r="A32" s="57">
        <f t="shared" si="16"/>
        <v>18</v>
      </c>
      <c r="B32" s="80" t="s">
        <v>164</v>
      </c>
      <c r="C32" s="76"/>
      <c r="D32" s="59">
        <f t="shared" si="9"/>
        <v>2007500</v>
      </c>
      <c r="E32" s="60">
        <v>1825000.0</v>
      </c>
      <c r="F32" s="61">
        <f t="shared" si="10"/>
        <v>182500</v>
      </c>
      <c r="G32" s="62">
        <v>10000.0</v>
      </c>
      <c r="H32" s="63">
        <v>2.0</v>
      </c>
      <c r="I32" s="63">
        <v>30.0</v>
      </c>
      <c r="J32" s="64">
        <f t="shared" si="11"/>
        <v>320000</v>
      </c>
      <c r="K32" s="65">
        <f t="shared" si="12"/>
        <v>2327500</v>
      </c>
      <c r="M32" s="8" t="str">
        <f t="shared" si="13"/>
        <v>XE Ô TÔ KHÔNG KD VẬN TẢI &amp; XE BUÝT</v>
      </c>
      <c r="N32" s="33" t="s">
        <v>147</v>
      </c>
      <c r="O32" s="33">
        <f t="shared" si="17"/>
        <v>32</v>
      </c>
      <c r="P32" s="33" t="s">
        <v>147</v>
      </c>
      <c r="Q32" s="33">
        <f t="shared" si="14"/>
        <v>32</v>
      </c>
      <c r="R32" s="8" t="str">
        <f t="shared" si="15"/>
        <v>new AutomobilesFullTypeObject() { DisplayName = "XE Ô TÔ KHÔNG KD VẬN TẢI &amp; XE BUÝT", AutomobileType = AutomobileTypeEnum.NON_COMMERCIAL, Attributes_Seat = "32", Attributes_Category = AutomobileTypeCategoryEnum.NON_COMMERCIAL },</v>
      </c>
    </row>
    <row r="33" ht="13.5" customHeight="1">
      <c r="A33" s="57">
        <f t="shared" si="16"/>
        <v>19</v>
      </c>
      <c r="B33" s="80" t="s">
        <v>165</v>
      </c>
      <c r="C33" s="76"/>
      <c r="D33" s="59">
        <f t="shared" si="9"/>
        <v>2007500</v>
      </c>
      <c r="E33" s="60">
        <v>1825000.0</v>
      </c>
      <c r="F33" s="61">
        <f t="shared" si="10"/>
        <v>182500</v>
      </c>
      <c r="G33" s="62">
        <v>10000.0</v>
      </c>
      <c r="H33" s="63">
        <v>2.0</v>
      </c>
      <c r="I33" s="63">
        <v>33.0</v>
      </c>
      <c r="J33" s="64">
        <f t="shared" si="11"/>
        <v>350000</v>
      </c>
      <c r="K33" s="65">
        <f t="shared" si="12"/>
        <v>2357500</v>
      </c>
      <c r="M33" s="8" t="str">
        <f t="shared" si="13"/>
        <v>XE Ô TÔ KHÔNG KD VẬN TẢI &amp; XE BUÝT</v>
      </c>
      <c r="N33" s="33" t="s">
        <v>147</v>
      </c>
      <c r="O33" s="33">
        <f t="shared" si="17"/>
        <v>35</v>
      </c>
      <c r="P33" s="33" t="s">
        <v>147</v>
      </c>
      <c r="Q33" s="33">
        <f t="shared" si="14"/>
        <v>35</v>
      </c>
      <c r="R33" s="8" t="str">
        <f t="shared" si="15"/>
        <v>new AutomobilesFullTypeObject() { DisplayName = "XE Ô TÔ KHÔNG KD VẬN TẢI &amp; XE BUÝT", AutomobileType = AutomobileTypeEnum.NON_COMMERCIAL, Attributes_Seat = "35", Attributes_Category = AutomobileTypeCategoryEnum.NON_COMMERCIAL },</v>
      </c>
    </row>
    <row r="34" ht="13.5" customHeight="1">
      <c r="A34" s="57">
        <f t="shared" si="16"/>
        <v>20</v>
      </c>
      <c r="B34" s="80" t="s">
        <v>166</v>
      </c>
      <c r="C34" s="76"/>
      <c r="D34" s="59">
        <f t="shared" si="9"/>
        <v>2007500</v>
      </c>
      <c r="E34" s="60">
        <v>1825000.0</v>
      </c>
      <c r="F34" s="61">
        <f t="shared" si="10"/>
        <v>182500</v>
      </c>
      <c r="G34" s="62">
        <v>10000.0</v>
      </c>
      <c r="H34" s="63">
        <v>2.0</v>
      </c>
      <c r="I34" s="63">
        <v>38.0</v>
      </c>
      <c r="J34" s="64">
        <f t="shared" si="11"/>
        <v>400000</v>
      </c>
      <c r="K34" s="65">
        <f t="shared" si="12"/>
        <v>2407500</v>
      </c>
      <c r="M34" s="8" t="str">
        <f t="shared" si="13"/>
        <v>XE Ô TÔ KHÔNG KD VẬN TẢI &amp; XE BUÝT</v>
      </c>
      <c r="N34" s="33" t="s">
        <v>147</v>
      </c>
      <c r="O34" s="33">
        <f t="shared" si="17"/>
        <v>40</v>
      </c>
      <c r="P34" s="33" t="s">
        <v>147</v>
      </c>
      <c r="Q34" s="33">
        <f t="shared" si="14"/>
        <v>40</v>
      </c>
      <c r="R34" s="8" t="str">
        <f t="shared" si="15"/>
        <v>new AutomobilesFullTypeObject() { DisplayName = "XE Ô TÔ KHÔNG KD VẬN TẢI &amp; XE BUÝT", AutomobileType = AutomobileTypeEnum.NON_COMMERCIAL, Attributes_Seat = "40", Attributes_Category = AutomobileTypeCategoryEnum.NON_COMMERCIAL },</v>
      </c>
    </row>
    <row r="35" ht="13.5" customHeight="1">
      <c r="A35" s="57">
        <f t="shared" si="16"/>
        <v>21</v>
      </c>
      <c r="B35" s="80" t="s">
        <v>167</v>
      </c>
      <c r="C35" s="76"/>
      <c r="D35" s="59">
        <f t="shared" si="9"/>
        <v>2007500</v>
      </c>
      <c r="E35" s="60">
        <v>1825000.0</v>
      </c>
      <c r="F35" s="61">
        <f t="shared" si="10"/>
        <v>182500</v>
      </c>
      <c r="G35" s="62">
        <v>10000.0</v>
      </c>
      <c r="H35" s="63">
        <v>2.0</v>
      </c>
      <c r="I35" s="63">
        <v>40.0</v>
      </c>
      <c r="J35" s="64">
        <f t="shared" si="11"/>
        <v>420000</v>
      </c>
      <c r="K35" s="65">
        <f t="shared" si="12"/>
        <v>2427500</v>
      </c>
      <c r="M35" s="8" t="str">
        <f t="shared" si="13"/>
        <v>XE Ô TÔ KHÔNG KD VẬN TẢI &amp; XE BUÝT</v>
      </c>
      <c r="N35" s="33" t="s">
        <v>147</v>
      </c>
      <c r="O35" s="33">
        <f t="shared" si="17"/>
        <v>42</v>
      </c>
      <c r="P35" s="33" t="s">
        <v>147</v>
      </c>
      <c r="Q35" s="33">
        <f t="shared" si="14"/>
        <v>42</v>
      </c>
      <c r="R35" s="8" t="str">
        <f t="shared" si="15"/>
        <v>new AutomobilesFullTypeObject() { DisplayName = "XE Ô TÔ KHÔNG KD VẬN TẢI &amp; XE BUÝT", AutomobileType = AutomobileTypeEnum.NON_COMMERCIAL, Attributes_Seat = "42", Attributes_Category = AutomobileTypeCategoryEnum.NON_COMMERCIAL },</v>
      </c>
    </row>
    <row r="36" ht="13.5" customHeight="1">
      <c r="A36" s="57">
        <f t="shared" si="16"/>
        <v>22</v>
      </c>
      <c r="B36" s="80" t="s">
        <v>168</v>
      </c>
      <c r="C36" s="76"/>
      <c r="D36" s="59">
        <f t="shared" si="9"/>
        <v>2007500</v>
      </c>
      <c r="E36" s="60">
        <v>1825000.0</v>
      </c>
      <c r="F36" s="61">
        <f t="shared" si="10"/>
        <v>182500</v>
      </c>
      <c r="G36" s="62">
        <v>10000.0</v>
      </c>
      <c r="H36" s="63">
        <v>2.0</v>
      </c>
      <c r="I36" s="63">
        <v>41.0</v>
      </c>
      <c r="J36" s="64">
        <f t="shared" si="11"/>
        <v>430000</v>
      </c>
      <c r="K36" s="65">
        <f t="shared" si="12"/>
        <v>2437500</v>
      </c>
      <c r="M36" s="8" t="str">
        <f t="shared" si="13"/>
        <v>XE Ô TÔ KHÔNG KD VẬN TẢI &amp; XE BUÝT</v>
      </c>
      <c r="N36" s="33" t="s">
        <v>147</v>
      </c>
      <c r="O36" s="33">
        <f t="shared" si="17"/>
        <v>43</v>
      </c>
      <c r="P36" s="33" t="s">
        <v>147</v>
      </c>
      <c r="Q36" s="33">
        <f t="shared" si="14"/>
        <v>43</v>
      </c>
      <c r="R36" s="8" t="str">
        <f t="shared" si="15"/>
        <v>new AutomobilesFullTypeObject() { DisplayName = "XE Ô TÔ KHÔNG KD VẬN TẢI &amp; XE BUÝT", AutomobileType = AutomobileTypeEnum.NON_COMMERCIAL, Attributes_Seat = "43", Attributes_Category = AutomobileTypeCategoryEnum.NON_COMMERCIAL },</v>
      </c>
    </row>
    <row r="37" ht="13.5" customHeight="1">
      <c r="A37" s="57">
        <f t="shared" si="16"/>
        <v>23</v>
      </c>
      <c r="B37" s="80" t="s">
        <v>169</v>
      </c>
      <c r="C37" s="76"/>
      <c r="D37" s="59">
        <f t="shared" si="9"/>
        <v>2007500</v>
      </c>
      <c r="E37" s="60">
        <v>1825000.0</v>
      </c>
      <c r="F37" s="61">
        <f t="shared" si="10"/>
        <v>182500</v>
      </c>
      <c r="G37" s="62">
        <v>10000.0</v>
      </c>
      <c r="H37" s="63">
        <v>2.0</v>
      </c>
      <c r="I37" s="63">
        <v>42.0</v>
      </c>
      <c r="J37" s="64">
        <f t="shared" si="11"/>
        <v>440000</v>
      </c>
      <c r="K37" s="65">
        <f t="shared" si="12"/>
        <v>2447500</v>
      </c>
      <c r="M37" s="8" t="str">
        <f t="shared" si="13"/>
        <v>XE Ô TÔ KHÔNG KD VẬN TẢI &amp; XE BUÝT</v>
      </c>
      <c r="N37" s="33" t="s">
        <v>147</v>
      </c>
      <c r="O37" s="33">
        <f t="shared" si="17"/>
        <v>44</v>
      </c>
      <c r="P37" s="33" t="s">
        <v>147</v>
      </c>
      <c r="Q37" s="33">
        <f t="shared" si="14"/>
        <v>44</v>
      </c>
      <c r="R37" s="8" t="str">
        <f t="shared" si="15"/>
        <v>new AutomobilesFullTypeObject() { DisplayName = "XE Ô TÔ KHÔNG KD VẬN TẢI &amp; XE BUÝT", AutomobileType = AutomobileTypeEnum.NON_COMMERCIAL, Attributes_Seat = "44", Attributes_Category = AutomobileTypeCategoryEnum.NON_COMMERCIAL },</v>
      </c>
    </row>
    <row r="38" ht="13.5" customHeight="1">
      <c r="A38" s="57">
        <f t="shared" si="16"/>
        <v>24</v>
      </c>
      <c r="B38" s="80" t="s">
        <v>170</v>
      </c>
      <c r="C38" s="76"/>
      <c r="D38" s="59">
        <f t="shared" si="9"/>
        <v>2007500</v>
      </c>
      <c r="E38" s="60">
        <v>1825000.0</v>
      </c>
      <c r="F38" s="61">
        <f t="shared" si="10"/>
        <v>182500</v>
      </c>
      <c r="G38" s="62">
        <v>10000.0</v>
      </c>
      <c r="H38" s="63">
        <v>2.0</v>
      </c>
      <c r="I38" s="63">
        <v>43.0</v>
      </c>
      <c r="J38" s="64">
        <f t="shared" si="11"/>
        <v>450000</v>
      </c>
      <c r="K38" s="65">
        <f t="shared" si="12"/>
        <v>2457500</v>
      </c>
      <c r="M38" s="8" t="str">
        <f t="shared" si="13"/>
        <v>XE Ô TÔ KHÔNG KD VẬN TẢI &amp; XE BUÝT</v>
      </c>
      <c r="N38" s="33" t="s">
        <v>147</v>
      </c>
      <c r="O38" s="33">
        <f t="shared" si="17"/>
        <v>45</v>
      </c>
      <c r="P38" s="33" t="s">
        <v>147</v>
      </c>
      <c r="Q38" s="33">
        <f t="shared" si="14"/>
        <v>45</v>
      </c>
      <c r="R38" s="8" t="str">
        <f t="shared" si="15"/>
        <v>new AutomobilesFullTypeObject() { DisplayName = "XE Ô TÔ KHÔNG KD VẬN TẢI &amp; XE BUÝT", AutomobileType = AutomobileTypeEnum.NON_COMMERCIAL, Attributes_Seat = "45", Attributes_Category = AutomobileTypeCategoryEnum.NON_COMMERCIAL },</v>
      </c>
    </row>
    <row r="39" ht="13.5" customHeight="1">
      <c r="A39" s="57">
        <f t="shared" si="16"/>
        <v>25</v>
      </c>
      <c r="B39" s="80" t="s">
        <v>171</v>
      </c>
      <c r="C39" s="76"/>
      <c r="D39" s="59">
        <f t="shared" si="9"/>
        <v>2007500</v>
      </c>
      <c r="E39" s="60">
        <v>1825000.0</v>
      </c>
      <c r="F39" s="61">
        <f t="shared" si="10"/>
        <v>182500</v>
      </c>
      <c r="G39" s="62">
        <v>10000.0</v>
      </c>
      <c r="H39" s="63">
        <v>2.0</v>
      </c>
      <c r="I39" s="63">
        <v>45.0</v>
      </c>
      <c r="J39" s="64">
        <f t="shared" si="11"/>
        <v>470000</v>
      </c>
      <c r="K39" s="65">
        <f t="shared" si="12"/>
        <v>2477500</v>
      </c>
      <c r="M39" s="8" t="str">
        <f t="shared" si="13"/>
        <v>XE Ô TÔ KHÔNG KD VẬN TẢI &amp; XE BUÝT</v>
      </c>
      <c r="N39" s="33" t="s">
        <v>147</v>
      </c>
      <c r="O39" s="33">
        <f t="shared" si="17"/>
        <v>47</v>
      </c>
      <c r="P39" s="33" t="s">
        <v>147</v>
      </c>
      <c r="Q39" s="33">
        <f t="shared" si="14"/>
        <v>47</v>
      </c>
      <c r="R39" s="8" t="str">
        <f t="shared" si="15"/>
        <v>new AutomobilesFullTypeObject() { DisplayName = "XE Ô TÔ KHÔNG KD VẬN TẢI &amp; XE BUÝT", AutomobileType = AutomobileTypeEnum.NON_COMMERCIAL, Attributes_Seat = "47", Attributes_Category = AutomobileTypeCategoryEnum.NON_COMMERCIAL },</v>
      </c>
    </row>
    <row r="40" ht="13.5" customHeight="1">
      <c r="A40" s="57">
        <f t="shared" si="16"/>
        <v>26</v>
      </c>
      <c r="B40" s="80" t="s">
        <v>172</v>
      </c>
      <c r="C40" s="76"/>
      <c r="D40" s="59">
        <f t="shared" si="9"/>
        <v>2007500</v>
      </c>
      <c r="E40" s="60">
        <v>1825000.0</v>
      </c>
      <c r="F40" s="61">
        <f t="shared" si="10"/>
        <v>182500</v>
      </c>
      <c r="G40" s="62">
        <v>10000.0</v>
      </c>
      <c r="H40" s="63">
        <v>2.0</v>
      </c>
      <c r="I40" s="63">
        <v>48.0</v>
      </c>
      <c r="J40" s="64">
        <f t="shared" si="11"/>
        <v>500000</v>
      </c>
      <c r="K40" s="65">
        <f t="shared" si="12"/>
        <v>2507500</v>
      </c>
      <c r="M40" s="8" t="str">
        <f t="shared" si="13"/>
        <v>XE Ô TÔ KHÔNG KD VẬN TẢI &amp; XE BUÝT</v>
      </c>
      <c r="N40" s="33" t="s">
        <v>147</v>
      </c>
      <c r="O40" s="33">
        <f t="shared" si="17"/>
        <v>50</v>
      </c>
      <c r="P40" s="33" t="s">
        <v>147</v>
      </c>
      <c r="Q40" s="33">
        <f t="shared" si="14"/>
        <v>50</v>
      </c>
      <c r="R40" s="8" t="str">
        <f t="shared" si="15"/>
        <v>new AutomobilesFullTypeObject() { DisplayName = "XE Ô TÔ KHÔNG KD VẬN TẢI &amp; XE BUÝT", AutomobileType = AutomobileTypeEnum.NON_COMMERCIAL, Attributes_Seat = "50", Attributes_Category = AutomobileTypeCategoryEnum.NON_COMMERCIAL },</v>
      </c>
    </row>
    <row r="41" ht="13.5" customHeight="1">
      <c r="A41" s="57">
        <f t="shared" si="16"/>
        <v>27</v>
      </c>
      <c r="B41" s="80" t="s">
        <v>173</v>
      </c>
      <c r="C41" s="76"/>
      <c r="D41" s="59">
        <f t="shared" si="9"/>
        <v>2007500</v>
      </c>
      <c r="E41" s="60">
        <v>1825000.0</v>
      </c>
      <c r="F41" s="61">
        <f t="shared" si="10"/>
        <v>182500</v>
      </c>
      <c r="G41" s="62">
        <v>10000.0</v>
      </c>
      <c r="H41" s="63">
        <v>2.0</v>
      </c>
      <c r="I41" s="63">
        <v>53.0</v>
      </c>
      <c r="J41" s="64">
        <f t="shared" si="11"/>
        <v>550000</v>
      </c>
      <c r="K41" s="65">
        <f t="shared" si="12"/>
        <v>2557500</v>
      </c>
      <c r="M41" s="8" t="str">
        <f t="shared" si="13"/>
        <v>XE Ô TÔ KHÔNG KD VẬN TẢI &amp; XE BUÝT</v>
      </c>
      <c r="N41" s="33" t="s">
        <v>147</v>
      </c>
      <c r="O41" s="33">
        <f t="shared" si="17"/>
        <v>55</v>
      </c>
      <c r="P41" s="33" t="s">
        <v>147</v>
      </c>
      <c r="Q41" s="33">
        <f t="shared" si="14"/>
        <v>55</v>
      </c>
      <c r="R41" s="8" t="str">
        <f t="shared" si="15"/>
        <v>new AutomobilesFullTypeObject() { DisplayName = "XE Ô TÔ KHÔNG KD VẬN TẢI &amp; XE BUÝT", AutomobileType = AutomobileTypeEnum.NON_COMMERCIAL, Attributes_Seat = "55", Attributes_Category = AutomobileTypeCategoryEnum.NON_COMMERCIAL },</v>
      </c>
    </row>
    <row r="42" ht="13.5" customHeight="1">
      <c r="A42" s="57">
        <f t="shared" si="16"/>
        <v>28</v>
      </c>
      <c r="B42" s="80" t="s">
        <v>174</v>
      </c>
      <c r="C42" s="76"/>
      <c r="D42" s="59">
        <f t="shared" si="9"/>
        <v>2007500</v>
      </c>
      <c r="E42" s="60">
        <v>1825000.0</v>
      </c>
      <c r="F42" s="61">
        <f t="shared" si="10"/>
        <v>182500</v>
      </c>
      <c r="G42" s="62">
        <v>10000.0</v>
      </c>
      <c r="H42" s="63">
        <v>2.0</v>
      </c>
      <c r="I42" s="63">
        <v>58.0</v>
      </c>
      <c r="J42" s="64">
        <f t="shared" si="11"/>
        <v>600000</v>
      </c>
      <c r="K42" s="65">
        <f t="shared" si="12"/>
        <v>2607500</v>
      </c>
      <c r="M42" s="8" t="str">
        <f t="shared" si="13"/>
        <v>XE Ô TÔ KHÔNG KD VẬN TẢI &amp; XE BUÝT</v>
      </c>
      <c r="N42" s="33" t="s">
        <v>147</v>
      </c>
      <c r="O42" s="33">
        <f t="shared" si="17"/>
        <v>60</v>
      </c>
      <c r="P42" s="33" t="s">
        <v>147</v>
      </c>
      <c r="Q42" s="33">
        <f t="shared" si="14"/>
        <v>60</v>
      </c>
      <c r="R42" s="8" t="str">
        <f t="shared" si="15"/>
        <v>new AutomobilesFullTypeObject() { DisplayName = "XE Ô TÔ KHÔNG KD VẬN TẢI &amp; XE BUÝT", AutomobileType = AutomobileTypeEnum.NON_COMMERCIAL, Attributes_Seat = "60", Attributes_Category = AutomobileTypeCategoryEnum.NON_COMMERCIAL },</v>
      </c>
    </row>
    <row r="43" ht="13.5" customHeight="1">
      <c r="A43" s="77"/>
      <c r="B43" s="68"/>
      <c r="C43" s="68"/>
      <c r="D43" s="68"/>
      <c r="E43" s="68"/>
      <c r="F43" s="68"/>
      <c r="G43" s="78"/>
      <c r="H43" s="78"/>
      <c r="I43" s="78"/>
      <c r="J43" s="78"/>
      <c r="K43" s="73"/>
      <c r="N43" s="33"/>
      <c r="O43" s="33"/>
      <c r="P43" s="33"/>
      <c r="Q43" s="33"/>
    </row>
    <row r="44" ht="13.5" customHeight="1">
      <c r="A44" s="74" t="s">
        <v>175</v>
      </c>
      <c r="B44" s="54" t="s">
        <v>176</v>
      </c>
      <c r="C44" s="55"/>
      <c r="D44" s="55"/>
      <c r="E44" s="55"/>
      <c r="F44" s="55"/>
      <c r="G44" s="55"/>
      <c r="H44" s="55"/>
      <c r="I44" s="55"/>
      <c r="J44" s="55"/>
      <c r="K44" s="56"/>
      <c r="L44" s="8" t="s">
        <v>108</v>
      </c>
      <c r="N44" s="33"/>
      <c r="O44" s="33"/>
      <c r="P44" s="33"/>
      <c r="Q44" s="33"/>
    </row>
    <row r="45" ht="13.5" customHeight="1">
      <c r="A45" s="57">
        <v>1.0</v>
      </c>
      <c r="B45" s="80" t="s">
        <v>146</v>
      </c>
      <c r="C45" s="76"/>
      <c r="D45" s="59">
        <f t="shared" ref="D45:D94" si="18">+E45*110%</f>
        <v>831600</v>
      </c>
      <c r="E45" s="60">
        <v>756000.0</v>
      </c>
      <c r="F45" s="61">
        <f t="shared" ref="F45:F94" si="19">E45*10%</f>
        <v>75600</v>
      </c>
      <c r="G45" s="62">
        <v>10000.0</v>
      </c>
      <c r="H45" s="63">
        <v>1.0</v>
      </c>
      <c r="I45" s="63">
        <v>0.0</v>
      </c>
      <c r="J45" s="64">
        <f t="shared" ref="J45:J94" si="20">+G45*(H45+I45)</f>
        <v>10000</v>
      </c>
      <c r="K45" s="65">
        <f t="shared" ref="K45:K94" si="21">+D45+J45</f>
        <v>841600</v>
      </c>
      <c r="M45" s="8" t="str">
        <f t="shared" ref="M45:M94" si="22">$L$44</f>
        <v>XE Ô TÔ KD VẬN TẢI</v>
      </c>
      <c r="N45" s="33" t="s">
        <v>177</v>
      </c>
      <c r="O45" s="33">
        <v>4.0</v>
      </c>
      <c r="P45" s="33" t="s">
        <v>177</v>
      </c>
      <c r="Q45" s="33">
        <f t="shared" ref="Q45:Q94" si="23">H45+I45</f>
        <v>1</v>
      </c>
      <c r="R45" s="8" t="str">
        <f t="shared" ref="R45:R94" si="24">"new AutomobilesFullTypeObject() { DisplayName = """&amp;M45&amp;""", AutomobileType = AutomobileTypeEnum."&amp;N45&amp;", Attributes_Seat = """&amp;O45&amp;""", Attributes_Category = AutomobileTypeCategoryEnum."&amp;P45&amp;" },"</f>
        <v>new AutomobilesFullTypeObject() { DisplayName = "XE Ô TÔ KD VẬN TẢI", AutomobileType = AutomobileTypeEnum.COMMERCIAL, Attributes_Seat = "4", Attributes_Category = AutomobileTypeCategoryEnum.COMMERCIAL },</v>
      </c>
    </row>
    <row r="46" ht="13.5" customHeight="1">
      <c r="A46" s="57">
        <f t="shared" ref="A46:A94" si="25">+A45+1</f>
        <v>2</v>
      </c>
      <c r="B46" s="80" t="s">
        <v>148</v>
      </c>
      <c r="C46" s="76"/>
      <c r="D46" s="59">
        <f t="shared" si="18"/>
        <v>831600</v>
      </c>
      <c r="E46" s="60">
        <v>756000.0</v>
      </c>
      <c r="F46" s="61">
        <f t="shared" si="19"/>
        <v>75600</v>
      </c>
      <c r="G46" s="62">
        <v>10000.0</v>
      </c>
      <c r="H46" s="63">
        <v>1.0</v>
      </c>
      <c r="I46" s="63">
        <v>0.0</v>
      </c>
      <c r="J46" s="64">
        <f t="shared" si="20"/>
        <v>10000</v>
      </c>
      <c r="K46" s="65">
        <f t="shared" si="21"/>
        <v>841600</v>
      </c>
      <c r="M46" s="8" t="str">
        <f t="shared" si="22"/>
        <v>XE Ô TÔ KD VẬN TẢI</v>
      </c>
      <c r="N46" s="33" t="s">
        <v>177</v>
      </c>
      <c r="O46" s="33">
        <v>5.0</v>
      </c>
      <c r="P46" s="33" t="s">
        <v>177</v>
      </c>
      <c r="Q46" s="33">
        <f t="shared" si="23"/>
        <v>1</v>
      </c>
      <c r="R46" s="8" t="str">
        <f t="shared" si="24"/>
        <v>new AutomobilesFullTypeObject() { DisplayName = "XE Ô TÔ KD VẬN TẢI", AutomobileType = AutomobileTypeEnum.COMMERCIAL, Attributes_Seat = "5", Attributes_Category = AutomobileTypeCategoryEnum.COMMERCIAL },</v>
      </c>
    </row>
    <row r="47" ht="13.5" customHeight="1">
      <c r="A47" s="57">
        <f t="shared" si="25"/>
        <v>3</v>
      </c>
      <c r="B47" s="80" t="s">
        <v>149</v>
      </c>
      <c r="C47" s="76"/>
      <c r="D47" s="59">
        <f t="shared" si="18"/>
        <v>1021900</v>
      </c>
      <c r="E47" s="60">
        <v>929000.0</v>
      </c>
      <c r="F47" s="61">
        <f t="shared" si="19"/>
        <v>92900</v>
      </c>
      <c r="G47" s="62">
        <v>10000.0</v>
      </c>
      <c r="H47" s="63">
        <v>1.0</v>
      </c>
      <c r="I47" s="63">
        <v>0.0</v>
      </c>
      <c r="J47" s="64">
        <f t="shared" si="20"/>
        <v>10000</v>
      </c>
      <c r="K47" s="65">
        <f t="shared" si="21"/>
        <v>1031900</v>
      </c>
      <c r="M47" s="8" t="str">
        <f t="shared" si="22"/>
        <v>XE Ô TÔ KD VẬN TẢI</v>
      </c>
      <c r="N47" s="33" t="s">
        <v>177</v>
      </c>
      <c r="O47" s="33">
        <v>6.0</v>
      </c>
      <c r="P47" s="33" t="s">
        <v>177</v>
      </c>
      <c r="Q47" s="33">
        <f t="shared" si="23"/>
        <v>1</v>
      </c>
      <c r="R47" s="8" t="str">
        <f t="shared" si="24"/>
        <v>new AutomobilesFullTypeObject() { DisplayName = "XE Ô TÔ KD VẬN TẢI", AutomobileType = AutomobileTypeEnum.COMMERCIAL, Attributes_Seat = "6", Attributes_Category = AutomobileTypeCategoryEnum.COMMERCIAL },</v>
      </c>
    </row>
    <row r="48" ht="13.5" customHeight="1">
      <c r="A48" s="57">
        <f t="shared" si="25"/>
        <v>4</v>
      </c>
      <c r="B48" s="80" t="s">
        <v>150</v>
      </c>
      <c r="C48" s="76"/>
      <c r="D48" s="59">
        <f t="shared" si="18"/>
        <v>1188000</v>
      </c>
      <c r="E48" s="60">
        <v>1080000.0</v>
      </c>
      <c r="F48" s="61">
        <f t="shared" si="19"/>
        <v>108000</v>
      </c>
      <c r="G48" s="62">
        <v>10000.0</v>
      </c>
      <c r="H48" s="63">
        <v>1.0</v>
      </c>
      <c r="I48" s="63">
        <v>0.0</v>
      </c>
      <c r="J48" s="64">
        <f t="shared" si="20"/>
        <v>10000</v>
      </c>
      <c r="K48" s="65">
        <f t="shared" si="21"/>
        <v>1198000</v>
      </c>
      <c r="M48" s="8" t="str">
        <f t="shared" si="22"/>
        <v>XE Ô TÔ KD VẬN TẢI</v>
      </c>
      <c r="N48" s="33" t="s">
        <v>177</v>
      </c>
      <c r="O48" s="33">
        <v>7.0</v>
      </c>
      <c r="P48" s="33" t="s">
        <v>177</v>
      </c>
      <c r="Q48" s="33">
        <f t="shared" si="23"/>
        <v>1</v>
      </c>
      <c r="R48" s="8" t="str">
        <f t="shared" si="24"/>
        <v>new AutomobilesFullTypeObject() { DisplayName = "XE Ô TÔ KD VẬN TẢI", AutomobileType = AutomobileTypeEnum.COMMERCIAL, Attributes_Seat = "7", Attributes_Category = AutomobileTypeCategoryEnum.COMMERCIAL },</v>
      </c>
    </row>
    <row r="49" ht="13.5" customHeight="1">
      <c r="A49" s="57">
        <f t="shared" si="25"/>
        <v>5</v>
      </c>
      <c r="B49" s="80" t="s">
        <v>151</v>
      </c>
      <c r="C49" s="76"/>
      <c r="D49" s="59">
        <f t="shared" si="18"/>
        <v>1378300</v>
      </c>
      <c r="E49" s="60">
        <v>1253000.0</v>
      </c>
      <c r="F49" s="61">
        <f t="shared" si="19"/>
        <v>125300</v>
      </c>
      <c r="G49" s="62">
        <v>10000.0</v>
      </c>
      <c r="H49" s="63">
        <v>1.0</v>
      </c>
      <c r="I49" s="63">
        <v>0.0</v>
      </c>
      <c r="J49" s="64">
        <f t="shared" si="20"/>
        <v>10000</v>
      </c>
      <c r="K49" s="65">
        <f t="shared" si="21"/>
        <v>1388300</v>
      </c>
      <c r="M49" s="8" t="str">
        <f t="shared" si="22"/>
        <v>XE Ô TÔ KD VẬN TẢI</v>
      </c>
      <c r="N49" s="33" t="s">
        <v>177</v>
      </c>
      <c r="O49" s="33">
        <v>8.0</v>
      </c>
      <c r="P49" s="33" t="s">
        <v>177</v>
      </c>
      <c r="Q49" s="33">
        <f t="shared" si="23"/>
        <v>1</v>
      </c>
      <c r="R49" s="8" t="str">
        <f t="shared" si="24"/>
        <v>new AutomobilesFullTypeObject() { DisplayName = "XE Ô TÔ KD VẬN TẢI", AutomobileType = AutomobileTypeEnum.COMMERCIAL, Attributes_Seat = "8", Attributes_Category = AutomobileTypeCategoryEnum.COMMERCIAL },</v>
      </c>
    </row>
    <row r="50" ht="13.5" customHeight="1">
      <c r="A50" s="57">
        <f t="shared" si="25"/>
        <v>6</v>
      </c>
      <c r="B50" s="80" t="s">
        <v>152</v>
      </c>
      <c r="C50" s="76"/>
      <c r="D50" s="59">
        <f t="shared" si="18"/>
        <v>1544400</v>
      </c>
      <c r="E50" s="60">
        <v>1404000.0</v>
      </c>
      <c r="F50" s="61">
        <f t="shared" si="19"/>
        <v>140400</v>
      </c>
      <c r="G50" s="62">
        <v>10000.0</v>
      </c>
      <c r="H50" s="63">
        <v>1.0</v>
      </c>
      <c r="I50" s="63">
        <v>0.0</v>
      </c>
      <c r="J50" s="64">
        <f t="shared" si="20"/>
        <v>10000</v>
      </c>
      <c r="K50" s="65">
        <f t="shared" si="21"/>
        <v>1554400</v>
      </c>
      <c r="M50" s="8" t="str">
        <f t="shared" si="22"/>
        <v>XE Ô TÔ KD VẬN TẢI</v>
      </c>
      <c r="N50" s="33" t="s">
        <v>177</v>
      </c>
      <c r="O50" s="33">
        <v>9.0</v>
      </c>
      <c r="P50" s="33" t="s">
        <v>177</v>
      </c>
      <c r="Q50" s="33">
        <f t="shared" si="23"/>
        <v>1</v>
      </c>
      <c r="R50" s="8" t="str">
        <f t="shared" si="24"/>
        <v>new AutomobilesFullTypeObject() { DisplayName = "XE Ô TÔ KD VẬN TẢI", AutomobileType = AutomobileTypeEnum.COMMERCIAL, Attributes_Seat = "9", Attributes_Category = AutomobileTypeCategoryEnum.COMMERCIAL },</v>
      </c>
    </row>
    <row r="51" ht="13.5" customHeight="1">
      <c r="A51" s="57">
        <f t="shared" si="25"/>
        <v>7</v>
      </c>
      <c r="B51" s="80" t="s">
        <v>153</v>
      </c>
      <c r="C51" s="76"/>
      <c r="D51" s="59">
        <f t="shared" si="18"/>
        <v>1663200</v>
      </c>
      <c r="E51" s="60">
        <v>1512000.0</v>
      </c>
      <c r="F51" s="61">
        <f t="shared" si="19"/>
        <v>151200</v>
      </c>
      <c r="G51" s="62">
        <v>10000.0</v>
      </c>
      <c r="H51" s="63">
        <v>1.0</v>
      </c>
      <c r="I51" s="63">
        <v>0.0</v>
      </c>
      <c r="J51" s="64">
        <f t="shared" si="20"/>
        <v>10000</v>
      </c>
      <c r="K51" s="65">
        <f t="shared" si="21"/>
        <v>1673200</v>
      </c>
      <c r="M51" s="8" t="str">
        <f t="shared" si="22"/>
        <v>XE Ô TÔ KD VẬN TẢI</v>
      </c>
      <c r="N51" s="33" t="s">
        <v>177</v>
      </c>
      <c r="O51" s="33">
        <v>10.0</v>
      </c>
      <c r="P51" s="33" t="s">
        <v>177</v>
      </c>
      <c r="Q51" s="33">
        <f t="shared" si="23"/>
        <v>1</v>
      </c>
      <c r="R51" s="8" t="str">
        <f t="shared" si="24"/>
        <v>new AutomobilesFullTypeObject() { DisplayName = "XE Ô TÔ KD VẬN TẢI", AutomobileType = AutomobileTypeEnum.COMMERCIAL, Attributes_Seat = "10", Attributes_Category = AutomobileTypeCategoryEnum.COMMERCIAL },</v>
      </c>
    </row>
    <row r="52" ht="13.5" customHeight="1">
      <c r="A52" s="57">
        <f t="shared" si="25"/>
        <v>8</v>
      </c>
      <c r="B52" s="80" t="s">
        <v>154</v>
      </c>
      <c r="C52" s="76"/>
      <c r="D52" s="59">
        <f t="shared" si="18"/>
        <v>1821600</v>
      </c>
      <c r="E52" s="60">
        <v>1656000.0</v>
      </c>
      <c r="F52" s="61">
        <f t="shared" si="19"/>
        <v>165600</v>
      </c>
      <c r="G52" s="62">
        <v>10000.0</v>
      </c>
      <c r="H52" s="63">
        <v>1.0</v>
      </c>
      <c r="I52" s="63">
        <v>0.0</v>
      </c>
      <c r="J52" s="64">
        <f t="shared" si="20"/>
        <v>10000</v>
      </c>
      <c r="K52" s="65">
        <f t="shared" si="21"/>
        <v>1831600</v>
      </c>
      <c r="M52" s="8" t="str">
        <f t="shared" si="22"/>
        <v>XE Ô TÔ KD VẬN TẢI</v>
      </c>
      <c r="N52" s="33" t="s">
        <v>177</v>
      </c>
      <c r="O52" s="33">
        <v>11.0</v>
      </c>
      <c r="P52" s="33" t="s">
        <v>177</v>
      </c>
      <c r="Q52" s="33">
        <f t="shared" si="23"/>
        <v>1</v>
      </c>
      <c r="R52" s="8" t="str">
        <f t="shared" si="24"/>
        <v>new AutomobilesFullTypeObject() { DisplayName = "XE Ô TÔ KD VẬN TẢI", AutomobileType = AutomobileTypeEnum.COMMERCIAL, Attributes_Seat = "11", Attributes_Category = AutomobileTypeCategoryEnum.COMMERCIAL },</v>
      </c>
    </row>
    <row r="53" ht="13.5" customHeight="1">
      <c r="A53" s="57">
        <f t="shared" si="25"/>
        <v>9</v>
      </c>
      <c r="B53" s="80" t="s">
        <v>155</v>
      </c>
      <c r="C53" s="76"/>
      <c r="D53" s="59">
        <f t="shared" si="18"/>
        <v>2004200</v>
      </c>
      <c r="E53" s="60">
        <v>1822000.0</v>
      </c>
      <c r="F53" s="61">
        <f t="shared" si="19"/>
        <v>182200</v>
      </c>
      <c r="G53" s="62">
        <v>10000.0</v>
      </c>
      <c r="H53" s="63">
        <v>1.0</v>
      </c>
      <c r="I53" s="63">
        <v>0.0</v>
      </c>
      <c r="J53" s="64">
        <f t="shared" si="20"/>
        <v>10000</v>
      </c>
      <c r="K53" s="65">
        <f t="shared" si="21"/>
        <v>2014200</v>
      </c>
      <c r="M53" s="8" t="str">
        <f t="shared" si="22"/>
        <v>XE Ô TÔ KD VẬN TẢI</v>
      </c>
      <c r="N53" s="33" t="s">
        <v>177</v>
      </c>
      <c r="O53" s="33">
        <v>12.0</v>
      </c>
      <c r="P53" s="33" t="s">
        <v>177</v>
      </c>
      <c r="Q53" s="33">
        <f t="shared" si="23"/>
        <v>1</v>
      </c>
      <c r="R53" s="8" t="str">
        <f t="shared" si="24"/>
        <v>new AutomobilesFullTypeObject() { DisplayName = "XE Ô TÔ KD VẬN TẢI", AutomobileType = AutomobileTypeEnum.COMMERCIAL, Attributes_Seat = "12", Attributes_Category = AutomobileTypeCategoryEnum.COMMERCIAL },</v>
      </c>
    </row>
    <row r="54" ht="13.5" customHeight="1">
      <c r="A54" s="57">
        <f t="shared" si="25"/>
        <v>10</v>
      </c>
      <c r="B54" s="80" t="s">
        <v>178</v>
      </c>
      <c r="C54" s="76"/>
      <c r="D54" s="59">
        <f t="shared" si="18"/>
        <v>2253900</v>
      </c>
      <c r="E54" s="60">
        <v>2049000.0</v>
      </c>
      <c r="F54" s="61">
        <f t="shared" si="19"/>
        <v>204900</v>
      </c>
      <c r="G54" s="62">
        <v>10000.0</v>
      </c>
      <c r="H54" s="63">
        <v>1.0</v>
      </c>
      <c r="I54" s="63">
        <v>0.0</v>
      </c>
      <c r="J54" s="64">
        <f t="shared" si="20"/>
        <v>10000</v>
      </c>
      <c r="K54" s="65">
        <f t="shared" si="21"/>
        <v>2263900</v>
      </c>
      <c r="M54" s="8" t="str">
        <f t="shared" si="22"/>
        <v>XE Ô TÔ KD VẬN TẢI</v>
      </c>
      <c r="N54" s="33" t="s">
        <v>177</v>
      </c>
      <c r="O54" s="33">
        <v>13.0</v>
      </c>
      <c r="P54" s="33" t="s">
        <v>177</v>
      </c>
      <c r="Q54" s="33">
        <f t="shared" si="23"/>
        <v>1</v>
      </c>
      <c r="R54" s="8" t="str">
        <f t="shared" si="24"/>
        <v>new AutomobilesFullTypeObject() { DisplayName = "XE Ô TÔ KD VẬN TẢI", AutomobileType = AutomobileTypeEnum.COMMERCIAL, Attributes_Seat = "13", Attributes_Category = AutomobileTypeCategoryEnum.COMMERCIAL },</v>
      </c>
    </row>
    <row r="55" ht="13.5" customHeight="1">
      <c r="A55" s="57">
        <f t="shared" si="25"/>
        <v>11</v>
      </c>
      <c r="B55" s="80" t="s">
        <v>179</v>
      </c>
      <c r="C55" s="76"/>
      <c r="D55" s="59">
        <f t="shared" si="18"/>
        <v>2443100</v>
      </c>
      <c r="E55" s="60">
        <v>2221000.0</v>
      </c>
      <c r="F55" s="61">
        <f t="shared" si="19"/>
        <v>222100</v>
      </c>
      <c r="G55" s="62">
        <v>10000.0</v>
      </c>
      <c r="H55" s="63">
        <v>1.0</v>
      </c>
      <c r="I55" s="63">
        <v>0.0</v>
      </c>
      <c r="J55" s="64">
        <f t="shared" si="20"/>
        <v>10000</v>
      </c>
      <c r="K55" s="65">
        <f t="shared" si="21"/>
        <v>2453100</v>
      </c>
      <c r="M55" s="8" t="str">
        <f t="shared" si="22"/>
        <v>XE Ô TÔ KD VẬN TẢI</v>
      </c>
      <c r="N55" s="33" t="s">
        <v>177</v>
      </c>
      <c r="O55" s="33">
        <v>14.0</v>
      </c>
      <c r="P55" s="33" t="s">
        <v>177</v>
      </c>
      <c r="Q55" s="33">
        <f t="shared" si="23"/>
        <v>1</v>
      </c>
      <c r="R55" s="8" t="str">
        <f t="shared" si="24"/>
        <v>new AutomobilesFullTypeObject() { DisplayName = "XE Ô TÔ KD VẬN TẢI", AutomobileType = AutomobileTypeEnum.COMMERCIAL, Attributes_Seat = "14", Attributes_Category = AutomobileTypeCategoryEnum.COMMERCIAL },</v>
      </c>
    </row>
    <row r="56" ht="13.5" customHeight="1">
      <c r="A56" s="57">
        <f t="shared" si="25"/>
        <v>12</v>
      </c>
      <c r="B56" s="80" t="s">
        <v>156</v>
      </c>
      <c r="C56" s="76"/>
      <c r="D56" s="59">
        <f t="shared" si="18"/>
        <v>2633400</v>
      </c>
      <c r="E56" s="60">
        <v>2394000.0</v>
      </c>
      <c r="F56" s="61">
        <f t="shared" si="19"/>
        <v>239400</v>
      </c>
      <c r="G56" s="62">
        <v>10000.0</v>
      </c>
      <c r="H56" s="63">
        <v>2.0</v>
      </c>
      <c r="I56" s="63">
        <v>0.0</v>
      </c>
      <c r="J56" s="64">
        <f t="shared" si="20"/>
        <v>20000</v>
      </c>
      <c r="K56" s="65">
        <f t="shared" si="21"/>
        <v>2653400</v>
      </c>
      <c r="M56" s="8" t="str">
        <f t="shared" si="22"/>
        <v>XE Ô TÔ KD VẬN TẢI</v>
      </c>
      <c r="N56" s="33" t="s">
        <v>177</v>
      </c>
      <c r="O56" s="33">
        <v>15.0</v>
      </c>
      <c r="P56" s="33" t="s">
        <v>177</v>
      </c>
      <c r="Q56" s="33">
        <f t="shared" si="23"/>
        <v>2</v>
      </c>
      <c r="R56" s="8" t="str">
        <f t="shared" si="24"/>
        <v>new AutomobilesFullTypeObject() { DisplayName = "XE Ô TÔ KD VẬN TẢI", AutomobileType = AutomobileTypeEnum.COMMERCIAL, Attributes_Seat = "15", Attributes_Category = AutomobileTypeCategoryEnum.COMMERCIAL },</v>
      </c>
    </row>
    <row r="57" ht="13.5" customHeight="1">
      <c r="A57" s="57">
        <f t="shared" si="25"/>
        <v>13</v>
      </c>
      <c r="B57" s="80" t="s">
        <v>157</v>
      </c>
      <c r="C57" s="76"/>
      <c r="D57" s="59">
        <f t="shared" si="18"/>
        <v>3359400</v>
      </c>
      <c r="E57" s="60">
        <v>3054000.0</v>
      </c>
      <c r="F57" s="61">
        <f t="shared" si="19"/>
        <v>305400</v>
      </c>
      <c r="G57" s="62">
        <v>10000.0</v>
      </c>
      <c r="H57" s="63">
        <v>2.0</v>
      </c>
      <c r="I57" s="63">
        <v>0.0</v>
      </c>
      <c r="J57" s="64">
        <f t="shared" si="20"/>
        <v>20000</v>
      </c>
      <c r="K57" s="65">
        <f t="shared" si="21"/>
        <v>3379400</v>
      </c>
      <c r="M57" s="8" t="str">
        <f t="shared" si="22"/>
        <v>XE Ô TÔ KD VẬN TẢI</v>
      </c>
      <c r="N57" s="33" t="s">
        <v>177</v>
      </c>
      <c r="O57" s="33">
        <v>16.0</v>
      </c>
      <c r="P57" s="33" t="s">
        <v>177</v>
      </c>
      <c r="Q57" s="33">
        <f t="shared" si="23"/>
        <v>2</v>
      </c>
      <c r="R57" s="8" t="str">
        <f t="shared" si="24"/>
        <v>new AutomobilesFullTypeObject() { DisplayName = "XE Ô TÔ KD VẬN TẢI", AutomobileType = AutomobileTypeEnum.COMMERCIAL, Attributes_Seat = "16", Attributes_Category = AutomobileTypeCategoryEnum.COMMERCIAL },</v>
      </c>
    </row>
    <row r="58" ht="13.5" customHeight="1">
      <c r="A58" s="57">
        <f t="shared" si="25"/>
        <v>14</v>
      </c>
      <c r="B58" s="80" t="s">
        <v>180</v>
      </c>
      <c r="C58" s="76"/>
      <c r="D58" s="59">
        <f t="shared" si="18"/>
        <v>2989800</v>
      </c>
      <c r="E58" s="60">
        <v>2718000.0</v>
      </c>
      <c r="F58" s="61">
        <f t="shared" si="19"/>
        <v>271800</v>
      </c>
      <c r="G58" s="62">
        <v>10000.0</v>
      </c>
      <c r="H58" s="63">
        <v>2.0</v>
      </c>
      <c r="I58" s="63">
        <v>0.0</v>
      </c>
      <c r="J58" s="64">
        <f t="shared" si="20"/>
        <v>20000</v>
      </c>
      <c r="K58" s="65">
        <f t="shared" si="21"/>
        <v>3009800</v>
      </c>
      <c r="M58" s="8" t="str">
        <f t="shared" si="22"/>
        <v>XE Ô TÔ KD VẬN TẢI</v>
      </c>
      <c r="N58" s="33" t="s">
        <v>177</v>
      </c>
      <c r="O58" s="33">
        <v>17.0</v>
      </c>
      <c r="P58" s="33" t="s">
        <v>177</v>
      </c>
      <c r="Q58" s="33">
        <f t="shared" si="23"/>
        <v>2</v>
      </c>
      <c r="R58" s="8" t="str">
        <f t="shared" si="24"/>
        <v>new AutomobilesFullTypeObject() { DisplayName = "XE Ô TÔ KD VẬN TẢI", AutomobileType = AutomobileTypeEnum.COMMERCIAL, Attributes_Seat = "17", Attributes_Category = AutomobileTypeCategoryEnum.COMMERCIAL },</v>
      </c>
    </row>
    <row r="59" ht="13.5" customHeight="1">
      <c r="A59" s="57">
        <f t="shared" si="25"/>
        <v>15</v>
      </c>
      <c r="B59" s="80" t="s">
        <v>181</v>
      </c>
      <c r="C59" s="76"/>
      <c r="D59" s="59">
        <f t="shared" si="18"/>
        <v>3155900</v>
      </c>
      <c r="E59" s="60">
        <v>2869000.0</v>
      </c>
      <c r="F59" s="61">
        <f t="shared" si="19"/>
        <v>286900</v>
      </c>
      <c r="G59" s="62">
        <v>10000.0</v>
      </c>
      <c r="H59" s="63">
        <v>2.0</v>
      </c>
      <c r="I59" s="63">
        <v>0.0</v>
      </c>
      <c r="J59" s="64">
        <f t="shared" si="20"/>
        <v>20000</v>
      </c>
      <c r="K59" s="65">
        <f t="shared" si="21"/>
        <v>3175900</v>
      </c>
      <c r="M59" s="8" t="str">
        <f t="shared" si="22"/>
        <v>XE Ô TÔ KD VẬN TẢI</v>
      </c>
      <c r="N59" s="33" t="s">
        <v>177</v>
      </c>
      <c r="O59" s="33">
        <v>18.0</v>
      </c>
      <c r="P59" s="33" t="s">
        <v>177</v>
      </c>
      <c r="Q59" s="33">
        <f t="shared" si="23"/>
        <v>2</v>
      </c>
      <c r="R59" s="8" t="str">
        <f t="shared" si="24"/>
        <v>new AutomobilesFullTypeObject() { DisplayName = "XE Ô TÔ KD VẬN TẢI", AutomobileType = AutomobileTypeEnum.COMMERCIAL, Attributes_Seat = "18", Attributes_Category = AutomobileTypeCategoryEnum.COMMERCIAL },</v>
      </c>
    </row>
    <row r="60" ht="13.5" customHeight="1">
      <c r="A60" s="57">
        <f t="shared" si="25"/>
        <v>16</v>
      </c>
      <c r="B60" s="80" t="s">
        <v>182</v>
      </c>
      <c r="C60" s="76"/>
      <c r="D60" s="59">
        <f t="shared" si="18"/>
        <v>3345100</v>
      </c>
      <c r="E60" s="60">
        <v>3041000.0</v>
      </c>
      <c r="F60" s="61">
        <f t="shared" si="19"/>
        <v>304100</v>
      </c>
      <c r="G60" s="62">
        <v>10000.0</v>
      </c>
      <c r="H60" s="63">
        <v>2.0</v>
      </c>
      <c r="I60" s="63">
        <v>0.0</v>
      </c>
      <c r="J60" s="64">
        <f t="shared" si="20"/>
        <v>20000</v>
      </c>
      <c r="K60" s="65">
        <f t="shared" si="21"/>
        <v>3365100</v>
      </c>
      <c r="M60" s="8" t="str">
        <f t="shared" si="22"/>
        <v>XE Ô TÔ KD VẬN TẢI</v>
      </c>
      <c r="N60" s="33" t="s">
        <v>177</v>
      </c>
      <c r="O60" s="33">
        <v>19.0</v>
      </c>
      <c r="P60" s="33" t="s">
        <v>177</v>
      </c>
      <c r="Q60" s="33">
        <f t="shared" si="23"/>
        <v>2</v>
      </c>
      <c r="R60" s="8" t="str">
        <f t="shared" si="24"/>
        <v>new AutomobilesFullTypeObject() { DisplayName = "XE Ô TÔ KD VẬN TẢI", AutomobileType = AutomobileTypeEnum.COMMERCIAL, Attributes_Seat = "19", Attributes_Category = AutomobileTypeCategoryEnum.COMMERCIAL },</v>
      </c>
    </row>
    <row r="61" ht="13.5" customHeight="1">
      <c r="A61" s="57">
        <f t="shared" si="25"/>
        <v>17</v>
      </c>
      <c r="B61" s="80" t="s">
        <v>158</v>
      </c>
      <c r="C61" s="76"/>
      <c r="D61" s="59">
        <f t="shared" si="18"/>
        <v>3510100</v>
      </c>
      <c r="E61" s="60">
        <v>3191000.0</v>
      </c>
      <c r="F61" s="61">
        <f t="shared" si="19"/>
        <v>319100</v>
      </c>
      <c r="G61" s="62">
        <v>10000.0</v>
      </c>
      <c r="H61" s="63">
        <v>2.0</v>
      </c>
      <c r="I61" s="63">
        <v>0.0</v>
      </c>
      <c r="J61" s="64">
        <f t="shared" si="20"/>
        <v>20000</v>
      </c>
      <c r="K61" s="65">
        <f t="shared" si="21"/>
        <v>3530100</v>
      </c>
      <c r="M61" s="8" t="str">
        <f t="shared" si="22"/>
        <v>XE Ô TÔ KD VẬN TẢI</v>
      </c>
      <c r="N61" s="33" t="s">
        <v>177</v>
      </c>
      <c r="O61" s="33">
        <v>20.0</v>
      </c>
      <c r="P61" s="33" t="s">
        <v>177</v>
      </c>
      <c r="Q61" s="33">
        <f t="shared" si="23"/>
        <v>2</v>
      </c>
      <c r="R61" s="8" t="str">
        <f t="shared" si="24"/>
        <v>new AutomobilesFullTypeObject() { DisplayName = "XE Ô TÔ KD VẬN TẢI", AutomobileType = AutomobileTypeEnum.COMMERCIAL, Attributes_Seat = "20", Attributes_Category = AutomobileTypeCategoryEnum.COMMERCIAL },</v>
      </c>
    </row>
    <row r="62" ht="13.5" customHeight="1">
      <c r="A62" s="57">
        <f t="shared" si="25"/>
        <v>18</v>
      </c>
      <c r="B62" s="80" t="s">
        <v>183</v>
      </c>
      <c r="C62" s="76"/>
      <c r="D62" s="59">
        <f t="shared" si="18"/>
        <v>3700400</v>
      </c>
      <c r="E62" s="60">
        <v>3364000.0</v>
      </c>
      <c r="F62" s="61">
        <f t="shared" si="19"/>
        <v>336400</v>
      </c>
      <c r="G62" s="62">
        <v>10000.0</v>
      </c>
      <c r="H62" s="63">
        <v>2.0</v>
      </c>
      <c r="I62" s="63">
        <v>0.0</v>
      </c>
      <c r="J62" s="64">
        <f t="shared" si="20"/>
        <v>20000</v>
      </c>
      <c r="K62" s="65">
        <f t="shared" si="21"/>
        <v>3720400</v>
      </c>
      <c r="M62" s="8" t="str">
        <f t="shared" si="22"/>
        <v>XE Ô TÔ KD VẬN TẢI</v>
      </c>
      <c r="N62" s="33" t="s">
        <v>177</v>
      </c>
      <c r="O62" s="33">
        <v>21.0</v>
      </c>
      <c r="P62" s="33" t="s">
        <v>177</v>
      </c>
      <c r="Q62" s="33">
        <f t="shared" si="23"/>
        <v>2</v>
      </c>
      <c r="R62" s="8" t="str">
        <f t="shared" si="24"/>
        <v>new AutomobilesFullTypeObject() { DisplayName = "XE Ô TÔ KD VẬN TẢI", AutomobileType = AutomobileTypeEnum.COMMERCIAL, Attributes_Seat = "21", Attributes_Category = AutomobileTypeCategoryEnum.COMMERCIAL },</v>
      </c>
    </row>
    <row r="63" ht="13.5" customHeight="1">
      <c r="A63" s="57">
        <f t="shared" si="25"/>
        <v>19</v>
      </c>
      <c r="B63" s="80" t="s">
        <v>184</v>
      </c>
      <c r="C63" s="76"/>
      <c r="D63" s="59">
        <f t="shared" si="18"/>
        <v>3866500</v>
      </c>
      <c r="E63" s="60">
        <v>3515000.0</v>
      </c>
      <c r="F63" s="61">
        <f t="shared" si="19"/>
        <v>351500</v>
      </c>
      <c r="G63" s="62">
        <v>10000.0</v>
      </c>
      <c r="H63" s="63">
        <v>2.0</v>
      </c>
      <c r="I63" s="63">
        <v>0.0</v>
      </c>
      <c r="J63" s="64">
        <f t="shared" si="20"/>
        <v>20000</v>
      </c>
      <c r="K63" s="65">
        <f t="shared" si="21"/>
        <v>3886500</v>
      </c>
      <c r="M63" s="8" t="str">
        <f t="shared" si="22"/>
        <v>XE Ô TÔ KD VẬN TẢI</v>
      </c>
      <c r="N63" s="33" t="s">
        <v>177</v>
      </c>
      <c r="O63" s="33">
        <v>22.0</v>
      </c>
      <c r="P63" s="33" t="s">
        <v>177</v>
      </c>
      <c r="Q63" s="33">
        <f t="shared" si="23"/>
        <v>2</v>
      </c>
      <c r="R63" s="8" t="str">
        <f t="shared" si="24"/>
        <v>new AutomobilesFullTypeObject() { DisplayName = "XE Ô TÔ KD VẬN TẢI", AutomobileType = AutomobileTypeEnum.COMMERCIAL, Attributes_Seat = "22", Attributes_Category = AutomobileTypeCategoryEnum.COMMERCIAL },</v>
      </c>
    </row>
    <row r="64" ht="13.5" customHeight="1">
      <c r="A64" s="57">
        <f t="shared" si="25"/>
        <v>20</v>
      </c>
      <c r="B64" s="80" t="s">
        <v>185</v>
      </c>
      <c r="C64" s="76"/>
      <c r="D64" s="59">
        <f t="shared" si="18"/>
        <v>4056800</v>
      </c>
      <c r="E64" s="60">
        <v>3688000.0</v>
      </c>
      <c r="F64" s="61">
        <f t="shared" si="19"/>
        <v>368800</v>
      </c>
      <c r="G64" s="62">
        <v>10000.0</v>
      </c>
      <c r="H64" s="63">
        <v>2.0</v>
      </c>
      <c r="I64" s="63">
        <v>0.0</v>
      </c>
      <c r="J64" s="64">
        <f t="shared" si="20"/>
        <v>20000</v>
      </c>
      <c r="K64" s="65">
        <f t="shared" si="21"/>
        <v>4076800</v>
      </c>
      <c r="M64" s="8" t="str">
        <f t="shared" si="22"/>
        <v>XE Ô TÔ KD VẬN TẢI</v>
      </c>
      <c r="N64" s="33" t="s">
        <v>177</v>
      </c>
      <c r="O64" s="33">
        <v>23.0</v>
      </c>
      <c r="P64" s="33" t="s">
        <v>177</v>
      </c>
      <c r="Q64" s="33">
        <f t="shared" si="23"/>
        <v>2</v>
      </c>
      <c r="R64" s="8" t="str">
        <f t="shared" si="24"/>
        <v>new AutomobilesFullTypeObject() { DisplayName = "XE Ô TÔ KD VẬN TẢI", AutomobileType = AutomobileTypeEnum.COMMERCIAL, Attributes_Seat = "23", Attributes_Category = AutomobileTypeCategoryEnum.COMMERCIAL },</v>
      </c>
    </row>
    <row r="65" ht="13.5" customHeight="1">
      <c r="A65" s="57">
        <f t="shared" si="25"/>
        <v>21</v>
      </c>
      <c r="B65" s="80" t="s">
        <v>159</v>
      </c>
      <c r="C65" s="76"/>
      <c r="D65" s="59">
        <f t="shared" si="18"/>
        <v>5095200</v>
      </c>
      <c r="E65" s="60">
        <v>4632000.0</v>
      </c>
      <c r="F65" s="61">
        <f t="shared" si="19"/>
        <v>463200</v>
      </c>
      <c r="G65" s="62">
        <v>10000.0</v>
      </c>
      <c r="H65" s="63">
        <v>2.0</v>
      </c>
      <c r="I65" s="63">
        <v>0.0</v>
      </c>
      <c r="J65" s="64">
        <f t="shared" si="20"/>
        <v>20000</v>
      </c>
      <c r="K65" s="65">
        <f t="shared" si="21"/>
        <v>5115200</v>
      </c>
      <c r="M65" s="8" t="str">
        <f t="shared" si="22"/>
        <v>XE Ô TÔ KD VẬN TẢI</v>
      </c>
      <c r="N65" s="33" t="s">
        <v>177</v>
      </c>
      <c r="O65" s="33">
        <v>24.0</v>
      </c>
      <c r="P65" s="33" t="s">
        <v>177</v>
      </c>
      <c r="Q65" s="33">
        <f t="shared" si="23"/>
        <v>2</v>
      </c>
      <c r="R65" s="8" t="str">
        <f t="shared" si="24"/>
        <v>new AutomobilesFullTypeObject() { DisplayName = "XE Ô TÔ KD VẬN TẢI", AutomobileType = AutomobileTypeEnum.COMMERCIAL, Attributes_Seat = "24", Attributes_Category = AutomobileTypeCategoryEnum.COMMERCIAL },</v>
      </c>
    </row>
    <row r="66" ht="13.5" customHeight="1">
      <c r="A66" s="57">
        <f t="shared" si="25"/>
        <v>22</v>
      </c>
      <c r="B66" s="80" t="s">
        <v>160</v>
      </c>
      <c r="C66" s="76"/>
      <c r="D66" s="59">
        <f t="shared" si="18"/>
        <v>5294300</v>
      </c>
      <c r="E66" s="60">
        <v>4813000.0</v>
      </c>
      <c r="F66" s="61">
        <f t="shared" si="19"/>
        <v>481300</v>
      </c>
      <c r="G66" s="62">
        <v>10000.0</v>
      </c>
      <c r="H66" s="63">
        <v>2.0</v>
      </c>
      <c r="I66" s="63">
        <v>0.0</v>
      </c>
      <c r="J66" s="64">
        <f t="shared" si="20"/>
        <v>20000</v>
      </c>
      <c r="K66" s="65">
        <f t="shared" si="21"/>
        <v>5314300</v>
      </c>
      <c r="M66" s="8" t="str">
        <f t="shared" si="22"/>
        <v>XE Ô TÔ KD VẬN TẢI</v>
      </c>
      <c r="N66" s="33" t="s">
        <v>177</v>
      </c>
      <c r="O66" s="33">
        <v>25.0</v>
      </c>
      <c r="P66" s="33" t="s">
        <v>177</v>
      </c>
      <c r="Q66" s="33">
        <f t="shared" si="23"/>
        <v>2</v>
      </c>
      <c r="R66" s="8" t="str">
        <f t="shared" si="24"/>
        <v>new AutomobilesFullTypeObject() { DisplayName = "XE Ô TÔ KD VẬN TẢI", AutomobileType = AutomobileTypeEnum.COMMERCIAL, Attributes_Seat = "25", Attributes_Category = AutomobileTypeCategoryEnum.COMMERCIAL },</v>
      </c>
    </row>
    <row r="67" ht="13.5" customHeight="1">
      <c r="A67" s="57">
        <f t="shared" si="25"/>
        <v>23</v>
      </c>
      <c r="B67" s="80" t="s">
        <v>186</v>
      </c>
      <c r="C67" s="76"/>
      <c r="D67" s="59">
        <f t="shared" si="18"/>
        <v>5327300</v>
      </c>
      <c r="E67" s="60">
        <v>4843000.0</v>
      </c>
      <c r="F67" s="61">
        <f t="shared" si="19"/>
        <v>484300</v>
      </c>
      <c r="G67" s="62">
        <v>10000.0</v>
      </c>
      <c r="H67" s="63">
        <v>2.0</v>
      </c>
      <c r="I67" s="63">
        <v>0.0</v>
      </c>
      <c r="J67" s="64">
        <f t="shared" si="20"/>
        <v>20000</v>
      </c>
      <c r="K67" s="65">
        <f t="shared" si="21"/>
        <v>5347300</v>
      </c>
      <c r="M67" s="8" t="str">
        <f t="shared" si="22"/>
        <v>XE Ô TÔ KD VẬN TẢI</v>
      </c>
      <c r="N67" s="33" t="s">
        <v>177</v>
      </c>
      <c r="O67" s="33">
        <v>26.0</v>
      </c>
      <c r="P67" s="33" t="s">
        <v>177</v>
      </c>
      <c r="Q67" s="33">
        <f t="shared" si="23"/>
        <v>2</v>
      </c>
      <c r="R67" s="8" t="str">
        <f t="shared" si="24"/>
        <v>new AutomobilesFullTypeObject() { DisplayName = "XE Ô TÔ KD VẬN TẢI", AutomobileType = AutomobileTypeEnum.COMMERCIAL, Attributes_Seat = "26", Attributes_Category = AutomobileTypeCategoryEnum.COMMERCIAL },</v>
      </c>
    </row>
    <row r="68" ht="13.5" customHeight="1">
      <c r="A68" s="57">
        <f t="shared" si="25"/>
        <v>24</v>
      </c>
      <c r="B68" s="80" t="s">
        <v>187</v>
      </c>
      <c r="C68" s="76"/>
      <c r="D68" s="59">
        <f t="shared" si="18"/>
        <v>5360300</v>
      </c>
      <c r="E68" s="60">
        <v>4873000.0</v>
      </c>
      <c r="F68" s="61">
        <f t="shared" si="19"/>
        <v>487300</v>
      </c>
      <c r="G68" s="62">
        <v>10000.0</v>
      </c>
      <c r="H68" s="63">
        <v>2.0</v>
      </c>
      <c r="I68" s="63">
        <v>0.0</v>
      </c>
      <c r="J68" s="64">
        <f t="shared" si="20"/>
        <v>20000</v>
      </c>
      <c r="K68" s="65">
        <f t="shared" si="21"/>
        <v>5380300</v>
      </c>
      <c r="M68" s="8" t="str">
        <f t="shared" si="22"/>
        <v>XE Ô TÔ KD VẬN TẢI</v>
      </c>
      <c r="N68" s="33" t="s">
        <v>177</v>
      </c>
      <c r="O68" s="33">
        <v>27.0</v>
      </c>
      <c r="P68" s="33" t="s">
        <v>177</v>
      </c>
      <c r="Q68" s="33">
        <f t="shared" si="23"/>
        <v>2</v>
      </c>
      <c r="R68" s="8" t="str">
        <f t="shared" si="24"/>
        <v>new AutomobilesFullTypeObject() { DisplayName = "XE Ô TÔ KD VẬN TẢI", AutomobileType = AutomobileTypeEnum.COMMERCIAL, Attributes_Seat = "27", Attributes_Category = AutomobileTypeCategoryEnum.COMMERCIAL },</v>
      </c>
    </row>
    <row r="69" ht="13.5" customHeight="1">
      <c r="A69" s="57">
        <f t="shared" si="25"/>
        <v>25</v>
      </c>
      <c r="B69" s="80" t="s">
        <v>161</v>
      </c>
      <c r="C69" s="76"/>
      <c r="D69" s="59">
        <f t="shared" si="18"/>
        <v>5393300</v>
      </c>
      <c r="E69" s="60">
        <v>4903000.0</v>
      </c>
      <c r="F69" s="61">
        <f t="shared" si="19"/>
        <v>490300</v>
      </c>
      <c r="G69" s="62">
        <v>10000.0</v>
      </c>
      <c r="H69" s="63">
        <v>2.0</v>
      </c>
      <c r="I69" s="63">
        <v>0.0</v>
      </c>
      <c r="J69" s="64">
        <f t="shared" si="20"/>
        <v>20000</v>
      </c>
      <c r="K69" s="65">
        <f t="shared" si="21"/>
        <v>5413300</v>
      </c>
      <c r="M69" s="8" t="str">
        <f t="shared" si="22"/>
        <v>XE Ô TÔ KD VẬN TẢI</v>
      </c>
      <c r="N69" s="33" t="s">
        <v>177</v>
      </c>
      <c r="O69" s="33">
        <v>28.0</v>
      </c>
      <c r="P69" s="33" t="s">
        <v>177</v>
      </c>
      <c r="Q69" s="33">
        <f t="shared" si="23"/>
        <v>2</v>
      </c>
      <c r="R69" s="8" t="str">
        <f t="shared" si="24"/>
        <v>new AutomobilesFullTypeObject() { DisplayName = "XE Ô TÔ KD VẬN TẢI", AutomobileType = AutomobileTypeEnum.COMMERCIAL, Attributes_Seat = "28", Attributes_Category = AutomobileTypeCategoryEnum.COMMERCIAL },</v>
      </c>
    </row>
    <row r="70" ht="13.5" customHeight="1">
      <c r="A70" s="57">
        <f t="shared" si="25"/>
        <v>26</v>
      </c>
      <c r="B70" s="80" t="s">
        <v>162</v>
      </c>
      <c r="C70" s="76"/>
      <c r="D70" s="59">
        <f t="shared" si="18"/>
        <v>5426300</v>
      </c>
      <c r="E70" s="60">
        <v>4933000.0</v>
      </c>
      <c r="F70" s="61">
        <f t="shared" si="19"/>
        <v>493300</v>
      </c>
      <c r="G70" s="62">
        <v>10000.0</v>
      </c>
      <c r="H70" s="63">
        <v>2.0</v>
      </c>
      <c r="I70" s="63">
        <v>0.0</v>
      </c>
      <c r="J70" s="64">
        <f t="shared" si="20"/>
        <v>20000</v>
      </c>
      <c r="K70" s="65">
        <f t="shared" si="21"/>
        <v>5446300</v>
      </c>
      <c r="M70" s="8" t="str">
        <f t="shared" si="22"/>
        <v>XE Ô TÔ KD VẬN TẢI</v>
      </c>
      <c r="N70" s="33" t="s">
        <v>177</v>
      </c>
      <c r="O70" s="33">
        <v>29.0</v>
      </c>
      <c r="P70" s="33" t="s">
        <v>177</v>
      </c>
      <c r="Q70" s="33">
        <f t="shared" si="23"/>
        <v>2</v>
      </c>
      <c r="R70" s="8" t="str">
        <f t="shared" si="24"/>
        <v>new AutomobilesFullTypeObject() { DisplayName = "XE Ô TÔ KD VẬN TẢI", AutomobileType = AutomobileTypeEnum.COMMERCIAL, Attributes_Seat = "29", Attributes_Category = AutomobileTypeCategoryEnum.COMMERCIAL },</v>
      </c>
    </row>
    <row r="71" ht="13.5" customHeight="1">
      <c r="A71" s="57">
        <f t="shared" si="25"/>
        <v>27</v>
      </c>
      <c r="B71" s="80" t="s">
        <v>163</v>
      </c>
      <c r="C71" s="76"/>
      <c r="D71" s="59">
        <f t="shared" si="18"/>
        <v>5459300</v>
      </c>
      <c r="E71" s="60">
        <v>4963000.0</v>
      </c>
      <c r="F71" s="61">
        <f t="shared" si="19"/>
        <v>496300</v>
      </c>
      <c r="G71" s="62">
        <v>10000.0</v>
      </c>
      <c r="H71" s="63">
        <v>2.0</v>
      </c>
      <c r="I71" s="63">
        <v>0.0</v>
      </c>
      <c r="J71" s="64">
        <f t="shared" si="20"/>
        <v>20000</v>
      </c>
      <c r="K71" s="65">
        <f t="shared" si="21"/>
        <v>5479300</v>
      </c>
      <c r="M71" s="8" t="str">
        <f t="shared" si="22"/>
        <v>XE Ô TÔ KD VẬN TẢI</v>
      </c>
      <c r="N71" s="33" t="s">
        <v>177</v>
      </c>
      <c r="O71" s="33">
        <v>30.0</v>
      </c>
      <c r="P71" s="33" t="s">
        <v>177</v>
      </c>
      <c r="Q71" s="33">
        <f t="shared" si="23"/>
        <v>2</v>
      </c>
      <c r="R71" s="8" t="str">
        <f t="shared" si="24"/>
        <v>new AutomobilesFullTypeObject() { DisplayName = "XE Ô TÔ KD VẬN TẢI", AutomobileType = AutomobileTypeEnum.COMMERCIAL, Attributes_Seat = "30", Attributes_Category = AutomobileTypeCategoryEnum.COMMERCIAL },</v>
      </c>
    </row>
    <row r="72" ht="13.5" customHeight="1">
      <c r="A72" s="57">
        <f t="shared" si="25"/>
        <v>28</v>
      </c>
      <c r="B72" s="80" t="s">
        <v>188</v>
      </c>
      <c r="C72" s="76"/>
      <c r="D72" s="59">
        <f t="shared" si="18"/>
        <v>5492300</v>
      </c>
      <c r="E72" s="60">
        <v>4993000.0</v>
      </c>
      <c r="F72" s="61">
        <f t="shared" si="19"/>
        <v>499300</v>
      </c>
      <c r="G72" s="62">
        <v>10000.0</v>
      </c>
      <c r="H72" s="63">
        <v>2.0</v>
      </c>
      <c r="I72" s="63">
        <v>0.0</v>
      </c>
      <c r="J72" s="64">
        <f t="shared" si="20"/>
        <v>20000</v>
      </c>
      <c r="K72" s="65">
        <f t="shared" si="21"/>
        <v>5512300</v>
      </c>
      <c r="M72" s="8" t="str">
        <f t="shared" si="22"/>
        <v>XE Ô TÔ KD VẬN TẢI</v>
      </c>
      <c r="N72" s="33" t="s">
        <v>177</v>
      </c>
      <c r="O72" s="33">
        <v>31.0</v>
      </c>
      <c r="P72" s="33" t="s">
        <v>177</v>
      </c>
      <c r="Q72" s="33">
        <f t="shared" si="23"/>
        <v>2</v>
      </c>
      <c r="R72" s="8" t="str">
        <f t="shared" si="24"/>
        <v>new AutomobilesFullTypeObject() { DisplayName = "XE Ô TÔ KD VẬN TẢI", AutomobileType = AutomobileTypeEnum.COMMERCIAL, Attributes_Seat = "31", Attributes_Category = AutomobileTypeCategoryEnum.COMMERCIAL },</v>
      </c>
    </row>
    <row r="73" ht="13.5" customHeight="1">
      <c r="A73" s="57">
        <f t="shared" si="25"/>
        <v>29</v>
      </c>
      <c r="B73" s="80" t="s">
        <v>164</v>
      </c>
      <c r="C73" s="76"/>
      <c r="D73" s="59">
        <f t="shared" si="18"/>
        <v>5525300</v>
      </c>
      <c r="E73" s="60">
        <v>5023000.0</v>
      </c>
      <c r="F73" s="61">
        <f t="shared" si="19"/>
        <v>502300</v>
      </c>
      <c r="G73" s="62">
        <v>10000.0</v>
      </c>
      <c r="H73" s="63">
        <v>2.0</v>
      </c>
      <c r="I73" s="63">
        <v>0.0</v>
      </c>
      <c r="J73" s="64">
        <f t="shared" si="20"/>
        <v>20000</v>
      </c>
      <c r="K73" s="65">
        <f t="shared" si="21"/>
        <v>5545300</v>
      </c>
      <c r="M73" s="8" t="str">
        <f t="shared" si="22"/>
        <v>XE Ô TÔ KD VẬN TẢI</v>
      </c>
      <c r="N73" s="33" t="s">
        <v>177</v>
      </c>
      <c r="O73" s="33">
        <v>32.0</v>
      </c>
      <c r="P73" s="33" t="s">
        <v>177</v>
      </c>
      <c r="Q73" s="33">
        <f t="shared" si="23"/>
        <v>2</v>
      </c>
      <c r="R73" s="8" t="str">
        <f t="shared" si="24"/>
        <v>new AutomobilesFullTypeObject() { DisplayName = "XE Ô TÔ KD VẬN TẢI", AutomobileType = AutomobileTypeEnum.COMMERCIAL, Attributes_Seat = "32", Attributes_Category = AutomobileTypeCategoryEnum.COMMERCIAL },</v>
      </c>
    </row>
    <row r="74" ht="13.5" customHeight="1">
      <c r="A74" s="57">
        <f t="shared" si="25"/>
        <v>30</v>
      </c>
      <c r="B74" s="80" t="s">
        <v>189</v>
      </c>
      <c r="C74" s="76"/>
      <c r="D74" s="59">
        <f t="shared" si="18"/>
        <v>5558300</v>
      </c>
      <c r="E74" s="60">
        <v>5053000.0</v>
      </c>
      <c r="F74" s="61">
        <f t="shared" si="19"/>
        <v>505300</v>
      </c>
      <c r="G74" s="62">
        <v>10000.0</v>
      </c>
      <c r="H74" s="63">
        <v>2.0</v>
      </c>
      <c r="I74" s="63">
        <v>0.0</v>
      </c>
      <c r="J74" s="64">
        <f t="shared" si="20"/>
        <v>20000</v>
      </c>
      <c r="K74" s="65">
        <f t="shared" si="21"/>
        <v>5578300</v>
      </c>
      <c r="M74" s="8" t="str">
        <f t="shared" si="22"/>
        <v>XE Ô TÔ KD VẬN TẢI</v>
      </c>
      <c r="N74" s="33" t="s">
        <v>177</v>
      </c>
      <c r="O74" s="33">
        <v>33.0</v>
      </c>
      <c r="P74" s="33" t="s">
        <v>177</v>
      </c>
      <c r="Q74" s="33">
        <f t="shared" si="23"/>
        <v>2</v>
      </c>
      <c r="R74" s="8" t="str">
        <f t="shared" si="24"/>
        <v>new AutomobilesFullTypeObject() { DisplayName = "XE Ô TÔ KD VẬN TẢI", AutomobileType = AutomobileTypeEnum.COMMERCIAL, Attributes_Seat = "33", Attributes_Category = AutomobileTypeCategoryEnum.COMMERCIAL },</v>
      </c>
    </row>
    <row r="75" ht="13.5" customHeight="1">
      <c r="A75" s="57">
        <f t="shared" si="25"/>
        <v>31</v>
      </c>
      <c r="B75" s="80" t="s">
        <v>190</v>
      </c>
      <c r="C75" s="76"/>
      <c r="D75" s="59">
        <f t="shared" si="18"/>
        <v>5591300</v>
      </c>
      <c r="E75" s="60">
        <v>5083000.0</v>
      </c>
      <c r="F75" s="61">
        <f t="shared" si="19"/>
        <v>508300</v>
      </c>
      <c r="G75" s="62">
        <v>10000.0</v>
      </c>
      <c r="H75" s="63">
        <v>2.0</v>
      </c>
      <c r="I75" s="63">
        <v>0.0</v>
      </c>
      <c r="J75" s="64">
        <f t="shared" si="20"/>
        <v>20000</v>
      </c>
      <c r="K75" s="65">
        <f t="shared" si="21"/>
        <v>5611300</v>
      </c>
      <c r="M75" s="8" t="str">
        <f t="shared" si="22"/>
        <v>XE Ô TÔ KD VẬN TẢI</v>
      </c>
      <c r="N75" s="33" t="s">
        <v>177</v>
      </c>
      <c r="O75" s="33">
        <v>34.0</v>
      </c>
      <c r="P75" s="33" t="s">
        <v>177</v>
      </c>
      <c r="Q75" s="33">
        <f t="shared" si="23"/>
        <v>2</v>
      </c>
      <c r="R75" s="8" t="str">
        <f t="shared" si="24"/>
        <v>new AutomobilesFullTypeObject() { DisplayName = "XE Ô TÔ KD VẬN TẢI", AutomobileType = AutomobileTypeEnum.COMMERCIAL, Attributes_Seat = "34", Attributes_Category = AutomobileTypeCategoryEnum.COMMERCIAL },</v>
      </c>
    </row>
    <row r="76" ht="13.5" customHeight="1">
      <c r="A76" s="57">
        <f t="shared" si="25"/>
        <v>32</v>
      </c>
      <c r="B76" s="80" t="s">
        <v>165</v>
      </c>
      <c r="C76" s="76"/>
      <c r="D76" s="59">
        <f t="shared" si="18"/>
        <v>5624300</v>
      </c>
      <c r="E76" s="60">
        <v>5113000.0</v>
      </c>
      <c r="F76" s="61">
        <f t="shared" si="19"/>
        <v>511300</v>
      </c>
      <c r="G76" s="62">
        <v>10000.0</v>
      </c>
      <c r="H76" s="63">
        <v>2.0</v>
      </c>
      <c r="I76" s="63">
        <v>0.0</v>
      </c>
      <c r="J76" s="64">
        <f t="shared" si="20"/>
        <v>20000</v>
      </c>
      <c r="K76" s="65">
        <f t="shared" si="21"/>
        <v>5644300</v>
      </c>
      <c r="M76" s="8" t="str">
        <f t="shared" si="22"/>
        <v>XE Ô TÔ KD VẬN TẢI</v>
      </c>
      <c r="N76" s="33" t="s">
        <v>177</v>
      </c>
      <c r="O76" s="33">
        <v>35.0</v>
      </c>
      <c r="P76" s="33" t="s">
        <v>177</v>
      </c>
      <c r="Q76" s="33">
        <f t="shared" si="23"/>
        <v>2</v>
      </c>
      <c r="R76" s="8" t="str">
        <f t="shared" si="24"/>
        <v>new AutomobilesFullTypeObject() { DisplayName = "XE Ô TÔ KD VẬN TẢI", AutomobileType = AutomobileTypeEnum.COMMERCIAL, Attributes_Seat = "35", Attributes_Category = AutomobileTypeCategoryEnum.COMMERCIAL },</v>
      </c>
    </row>
    <row r="77" ht="13.5" customHeight="1">
      <c r="A77" s="57">
        <f t="shared" si="25"/>
        <v>33</v>
      </c>
      <c r="B77" s="80" t="s">
        <v>191</v>
      </c>
      <c r="C77" s="76"/>
      <c r="D77" s="59">
        <f t="shared" si="18"/>
        <v>5657300</v>
      </c>
      <c r="E77" s="60">
        <v>5143000.0</v>
      </c>
      <c r="F77" s="61">
        <f t="shared" si="19"/>
        <v>514300</v>
      </c>
      <c r="G77" s="62">
        <v>10000.0</v>
      </c>
      <c r="H77" s="63">
        <v>2.0</v>
      </c>
      <c r="I77" s="63">
        <v>0.0</v>
      </c>
      <c r="J77" s="64">
        <f t="shared" si="20"/>
        <v>20000</v>
      </c>
      <c r="K77" s="65">
        <f t="shared" si="21"/>
        <v>5677300</v>
      </c>
      <c r="M77" s="8" t="str">
        <f t="shared" si="22"/>
        <v>XE Ô TÔ KD VẬN TẢI</v>
      </c>
      <c r="N77" s="33" t="s">
        <v>177</v>
      </c>
      <c r="O77" s="33">
        <v>36.0</v>
      </c>
      <c r="P77" s="33" t="s">
        <v>177</v>
      </c>
      <c r="Q77" s="33">
        <f t="shared" si="23"/>
        <v>2</v>
      </c>
      <c r="R77" s="8" t="str">
        <f t="shared" si="24"/>
        <v>new AutomobilesFullTypeObject() { DisplayName = "XE Ô TÔ KD VẬN TẢI", AutomobileType = AutomobileTypeEnum.COMMERCIAL, Attributes_Seat = "36", Attributes_Category = AutomobileTypeCategoryEnum.COMMERCIAL },</v>
      </c>
    </row>
    <row r="78" ht="13.5" customHeight="1">
      <c r="A78" s="57">
        <f t="shared" si="25"/>
        <v>34</v>
      </c>
      <c r="B78" s="80" t="s">
        <v>192</v>
      </c>
      <c r="C78" s="76"/>
      <c r="D78" s="59">
        <f t="shared" si="18"/>
        <v>5690300</v>
      </c>
      <c r="E78" s="60">
        <v>5173000.0</v>
      </c>
      <c r="F78" s="61">
        <f t="shared" si="19"/>
        <v>517300</v>
      </c>
      <c r="G78" s="62">
        <v>10000.0</v>
      </c>
      <c r="H78" s="63">
        <v>2.0</v>
      </c>
      <c r="I78" s="63">
        <v>0.0</v>
      </c>
      <c r="J78" s="64">
        <f t="shared" si="20"/>
        <v>20000</v>
      </c>
      <c r="K78" s="65">
        <f t="shared" si="21"/>
        <v>5710300</v>
      </c>
      <c r="M78" s="8" t="str">
        <f t="shared" si="22"/>
        <v>XE Ô TÔ KD VẬN TẢI</v>
      </c>
      <c r="N78" s="33" t="s">
        <v>177</v>
      </c>
      <c r="O78" s="33">
        <v>37.0</v>
      </c>
      <c r="P78" s="33" t="s">
        <v>177</v>
      </c>
      <c r="Q78" s="33">
        <f t="shared" si="23"/>
        <v>2</v>
      </c>
      <c r="R78" s="8" t="str">
        <f t="shared" si="24"/>
        <v>new AutomobilesFullTypeObject() { DisplayName = "XE Ô TÔ KD VẬN TẢI", AutomobileType = AutomobileTypeEnum.COMMERCIAL, Attributes_Seat = "37", Attributes_Category = AutomobileTypeCategoryEnum.COMMERCIAL },</v>
      </c>
    </row>
    <row r="79" ht="13.5" customHeight="1">
      <c r="A79" s="57">
        <f t="shared" si="25"/>
        <v>35</v>
      </c>
      <c r="B79" s="80" t="s">
        <v>193</v>
      </c>
      <c r="C79" s="76"/>
      <c r="D79" s="59">
        <f t="shared" si="18"/>
        <v>5723300</v>
      </c>
      <c r="E79" s="60">
        <v>5203000.0</v>
      </c>
      <c r="F79" s="61">
        <f t="shared" si="19"/>
        <v>520300</v>
      </c>
      <c r="G79" s="62">
        <v>10000.0</v>
      </c>
      <c r="H79" s="63">
        <v>2.0</v>
      </c>
      <c r="I79" s="63">
        <v>0.0</v>
      </c>
      <c r="J79" s="64">
        <f t="shared" si="20"/>
        <v>20000</v>
      </c>
      <c r="K79" s="65">
        <f t="shared" si="21"/>
        <v>5743300</v>
      </c>
      <c r="M79" s="8" t="str">
        <f t="shared" si="22"/>
        <v>XE Ô TÔ KD VẬN TẢI</v>
      </c>
      <c r="N79" s="33" t="s">
        <v>177</v>
      </c>
      <c r="O79" s="33">
        <v>38.0</v>
      </c>
      <c r="P79" s="33" t="s">
        <v>177</v>
      </c>
      <c r="Q79" s="33">
        <f t="shared" si="23"/>
        <v>2</v>
      </c>
      <c r="R79" s="8" t="str">
        <f t="shared" si="24"/>
        <v>new AutomobilesFullTypeObject() { DisplayName = "XE Ô TÔ KD VẬN TẢI", AutomobileType = AutomobileTypeEnum.COMMERCIAL, Attributes_Seat = "38", Attributes_Category = AutomobileTypeCategoryEnum.COMMERCIAL },</v>
      </c>
    </row>
    <row r="80" ht="13.5" customHeight="1">
      <c r="A80" s="57">
        <f t="shared" si="25"/>
        <v>36</v>
      </c>
      <c r="B80" s="80" t="s">
        <v>194</v>
      </c>
      <c r="C80" s="76"/>
      <c r="D80" s="59">
        <f t="shared" si="18"/>
        <v>5756300</v>
      </c>
      <c r="E80" s="60">
        <v>5233000.0</v>
      </c>
      <c r="F80" s="61">
        <f t="shared" si="19"/>
        <v>523300</v>
      </c>
      <c r="G80" s="62">
        <v>10000.0</v>
      </c>
      <c r="H80" s="63">
        <v>2.0</v>
      </c>
      <c r="I80" s="63">
        <v>0.0</v>
      </c>
      <c r="J80" s="64">
        <f t="shared" si="20"/>
        <v>20000</v>
      </c>
      <c r="K80" s="65">
        <f t="shared" si="21"/>
        <v>5776300</v>
      </c>
      <c r="M80" s="8" t="str">
        <f t="shared" si="22"/>
        <v>XE Ô TÔ KD VẬN TẢI</v>
      </c>
      <c r="N80" s="33" t="s">
        <v>177</v>
      </c>
      <c r="O80" s="33">
        <v>39.0</v>
      </c>
      <c r="P80" s="33" t="s">
        <v>177</v>
      </c>
      <c r="Q80" s="33">
        <f t="shared" si="23"/>
        <v>2</v>
      </c>
      <c r="R80" s="8" t="str">
        <f t="shared" si="24"/>
        <v>new AutomobilesFullTypeObject() { DisplayName = "XE Ô TÔ KD VẬN TẢI", AutomobileType = AutomobileTypeEnum.COMMERCIAL, Attributes_Seat = "39", Attributes_Category = AutomobileTypeCategoryEnum.COMMERCIAL },</v>
      </c>
    </row>
    <row r="81" ht="13.5" customHeight="1">
      <c r="A81" s="57">
        <f t="shared" si="25"/>
        <v>37</v>
      </c>
      <c r="B81" s="80" t="s">
        <v>166</v>
      </c>
      <c r="C81" s="76"/>
      <c r="D81" s="59">
        <f t="shared" si="18"/>
        <v>5789300</v>
      </c>
      <c r="E81" s="60">
        <v>5263000.0</v>
      </c>
      <c r="F81" s="61">
        <f t="shared" si="19"/>
        <v>526300</v>
      </c>
      <c r="G81" s="62">
        <v>10000.0</v>
      </c>
      <c r="H81" s="63">
        <v>2.0</v>
      </c>
      <c r="I81" s="63">
        <v>0.0</v>
      </c>
      <c r="J81" s="64">
        <f t="shared" si="20"/>
        <v>20000</v>
      </c>
      <c r="K81" s="65">
        <f t="shared" si="21"/>
        <v>5809300</v>
      </c>
      <c r="M81" s="8" t="str">
        <f t="shared" si="22"/>
        <v>XE Ô TÔ KD VẬN TẢI</v>
      </c>
      <c r="N81" s="33" t="s">
        <v>177</v>
      </c>
      <c r="O81" s="33">
        <v>40.0</v>
      </c>
      <c r="P81" s="33" t="s">
        <v>177</v>
      </c>
      <c r="Q81" s="33">
        <f t="shared" si="23"/>
        <v>2</v>
      </c>
      <c r="R81" s="8" t="str">
        <f t="shared" si="24"/>
        <v>new AutomobilesFullTypeObject() { DisplayName = "XE Ô TÔ KD VẬN TẢI", AutomobileType = AutomobileTypeEnum.COMMERCIAL, Attributes_Seat = "40", Attributes_Category = AutomobileTypeCategoryEnum.COMMERCIAL },</v>
      </c>
    </row>
    <row r="82" ht="13.5" customHeight="1">
      <c r="A82" s="57">
        <f t="shared" si="25"/>
        <v>38</v>
      </c>
      <c r="B82" s="80" t="s">
        <v>195</v>
      </c>
      <c r="C82" s="76"/>
      <c r="D82" s="59">
        <f t="shared" si="18"/>
        <v>5822300</v>
      </c>
      <c r="E82" s="60">
        <v>5293000.0</v>
      </c>
      <c r="F82" s="61">
        <f t="shared" si="19"/>
        <v>529300</v>
      </c>
      <c r="G82" s="62">
        <v>10000.0</v>
      </c>
      <c r="H82" s="63">
        <v>2.0</v>
      </c>
      <c r="I82" s="63">
        <v>0.0</v>
      </c>
      <c r="J82" s="64">
        <f t="shared" si="20"/>
        <v>20000</v>
      </c>
      <c r="K82" s="65">
        <f t="shared" si="21"/>
        <v>5842300</v>
      </c>
      <c r="M82" s="8" t="str">
        <f t="shared" si="22"/>
        <v>XE Ô TÔ KD VẬN TẢI</v>
      </c>
      <c r="N82" s="33" t="s">
        <v>177</v>
      </c>
      <c r="O82" s="33">
        <v>41.0</v>
      </c>
      <c r="P82" s="33" t="s">
        <v>177</v>
      </c>
      <c r="Q82" s="33">
        <f t="shared" si="23"/>
        <v>2</v>
      </c>
      <c r="R82" s="8" t="str">
        <f t="shared" si="24"/>
        <v>new AutomobilesFullTypeObject() { DisplayName = "XE Ô TÔ KD VẬN TẢI", AutomobileType = AutomobileTypeEnum.COMMERCIAL, Attributes_Seat = "41", Attributes_Category = AutomobileTypeCategoryEnum.COMMERCIAL },</v>
      </c>
    </row>
    <row r="83" ht="13.5" customHeight="1">
      <c r="A83" s="57">
        <f t="shared" si="25"/>
        <v>39</v>
      </c>
      <c r="B83" s="80" t="s">
        <v>167</v>
      </c>
      <c r="C83" s="76"/>
      <c r="D83" s="59">
        <f t="shared" si="18"/>
        <v>5855300</v>
      </c>
      <c r="E83" s="60">
        <v>5323000.0</v>
      </c>
      <c r="F83" s="61">
        <f t="shared" si="19"/>
        <v>532300</v>
      </c>
      <c r="G83" s="62">
        <v>10000.0</v>
      </c>
      <c r="H83" s="63">
        <v>2.0</v>
      </c>
      <c r="I83" s="63">
        <v>0.0</v>
      </c>
      <c r="J83" s="64">
        <f t="shared" si="20"/>
        <v>20000</v>
      </c>
      <c r="K83" s="65">
        <f t="shared" si="21"/>
        <v>5875300</v>
      </c>
      <c r="M83" s="8" t="str">
        <f t="shared" si="22"/>
        <v>XE Ô TÔ KD VẬN TẢI</v>
      </c>
      <c r="N83" s="33" t="s">
        <v>177</v>
      </c>
      <c r="O83" s="33">
        <v>42.0</v>
      </c>
      <c r="P83" s="33" t="s">
        <v>177</v>
      </c>
      <c r="Q83" s="33">
        <f t="shared" si="23"/>
        <v>2</v>
      </c>
      <c r="R83" s="8" t="str">
        <f t="shared" si="24"/>
        <v>new AutomobilesFullTypeObject() { DisplayName = "XE Ô TÔ KD VẬN TẢI", AutomobileType = AutomobileTypeEnum.COMMERCIAL, Attributes_Seat = "42", Attributes_Category = AutomobileTypeCategoryEnum.COMMERCIAL },</v>
      </c>
    </row>
    <row r="84" ht="13.5" customHeight="1">
      <c r="A84" s="57">
        <f t="shared" si="25"/>
        <v>40</v>
      </c>
      <c r="B84" s="80" t="s">
        <v>168</v>
      </c>
      <c r="C84" s="76"/>
      <c r="D84" s="59">
        <f t="shared" si="18"/>
        <v>5888300</v>
      </c>
      <c r="E84" s="60">
        <v>5353000.0</v>
      </c>
      <c r="F84" s="61">
        <f t="shared" si="19"/>
        <v>535300</v>
      </c>
      <c r="G84" s="62">
        <v>10000.0</v>
      </c>
      <c r="H84" s="63">
        <v>2.0</v>
      </c>
      <c r="I84" s="63">
        <v>0.0</v>
      </c>
      <c r="J84" s="64">
        <f t="shared" si="20"/>
        <v>20000</v>
      </c>
      <c r="K84" s="65">
        <f t="shared" si="21"/>
        <v>5908300</v>
      </c>
      <c r="M84" s="8" t="str">
        <f t="shared" si="22"/>
        <v>XE Ô TÔ KD VẬN TẢI</v>
      </c>
      <c r="N84" s="33" t="s">
        <v>177</v>
      </c>
      <c r="O84" s="33">
        <v>43.0</v>
      </c>
      <c r="P84" s="33" t="s">
        <v>177</v>
      </c>
      <c r="Q84" s="33">
        <f t="shared" si="23"/>
        <v>2</v>
      </c>
      <c r="R84" s="8" t="str">
        <f t="shared" si="24"/>
        <v>new AutomobilesFullTypeObject() { DisplayName = "XE Ô TÔ KD VẬN TẢI", AutomobileType = AutomobileTypeEnum.COMMERCIAL, Attributes_Seat = "43", Attributes_Category = AutomobileTypeCategoryEnum.COMMERCIAL },</v>
      </c>
    </row>
    <row r="85" ht="13.5" customHeight="1">
      <c r="A85" s="57">
        <f t="shared" si="25"/>
        <v>41</v>
      </c>
      <c r="B85" s="80" t="s">
        <v>169</v>
      </c>
      <c r="C85" s="76"/>
      <c r="D85" s="59">
        <f t="shared" si="18"/>
        <v>5921300</v>
      </c>
      <c r="E85" s="60">
        <v>5383000.0</v>
      </c>
      <c r="F85" s="61">
        <f t="shared" si="19"/>
        <v>538300</v>
      </c>
      <c r="G85" s="62">
        <v>10000.0</v>
      </c>
      <c r="H85" s="63">
        <v>2.0</v>
      </c>
      <c r="I85" s="63">
        <v>0.0</v>
      </c>
      <c r="J85" s="64">
        <f t="shared" si="20"/>
        <v>20000</v>
      </c>
      <c r="K85" s="65">
        <f t="shared" si="21"/>
        <v>5941300</v>
      </c>
      <c r="M85" s="8" t="str">
        <f t="shared" si="22"/>
        <v>XE Ô TÔ KD VẬN TẢI</v>
      </c>
      <c r="N85" s="33" t="s">
        <v>177</v>
      </c>
      <c r="O85" s="33">
        <v>44.0</v>
      </c>
      <c r="P85" s="33" t="s">
        <v>177</v>
      </c>
      <c r="Q85" s="33">
        <f t="shared" si="23"/>
        <v>2</v>
      </c>
      <c r="R85" s="8" t="str">
        <f t="shared" si="24"/>
        <v>new AutomobilesFullTypeObject() { DisplayName = "XE Ô TÔ KD VẬN TẢI", AutomobileType = AutomobileTypeEnum.COMMERCIAL, Attributes_Seat = "44", Attributes_Category = AutomobileTypeCategoryEnum.COMMERCIAL },</v>
      </c>
    </row>
    <row r="86" ht="13.5" customHeight="1">
      <c r="A86" s="57">
        <f t="shared" si="25"/>
        <v>42</v>
      </c>
      <c r="B86" s="80" t="s">
        <v>170</v>
      </c>
      <c r="C86" s="76"/>
      <c r="D86" s="59">
        <f t="shared" si="18"/>
        <v>5954300</v>
      </c>
      <c r="E86" s="60">
        <v>5413000.0</v>
      </c>
      <c r="F86" s="61">
        <f t="shared" si="19"/>
        <v>541300</v>
      </c>
      <c r="G86" s="62">
        <v>10000.0</v>
      </c>
      <c r="H86" s="63">
        <v>2.0</v>
      </c>
      <c r="I86" s="63">
        <v>0.0</v>
      </c>
      <c r="J86" s="64">
        <f t="shared" si="20"/>
        <v>20000</v>
      </c>
      <c r="K86" s="65">
        <f t="shared" si="21"/>
        <v>5974300</v>
      </c>
      <c r="M86" s="8" t="str">
        <f t="shared" si="22"/>
        <v>XE Ô TÔ KD VẬN TẢI</v>
      </c>
      <c r="N86" s="33" t="s">
        <v>177</v>
      </c>
      <c r="O86" s="33">
        <v>45.0</v>
      </c>
      <c r="P86" s="33" t="s">
        <v>177</v>
      </c>
      <c r="Q86" s="33">
        <f t="shared" si="23"/>
        <v>2</v>
      </c>
      <c r="R86" s="8" t="str">
        <f t="shared" si="24"/>
        <v>new AutomobilesFullTypeObject() { DisplayName = "XE Ô TÔ KD VẬN TẢI", AutomobileType = AutomobileTypeEnum.COMMERCIAL, Attributes_Seat = "45", Attributes_Category = AutomobileTypeCategoryEnum.COMMERCIAL },</v>
      </c>
    </row>
    <row r="87" ht="13.5" customHeight="1">
      <c r="A87" s="57">
        <f t="shared" si="25"/>
        <v>43</v>
      </c>
      <c r="B87" s="80" t="s">
        <v>196</v>
      </c>
      <c r="C87" s="76"/>
      <c r="D87" s="59">
        <f t="shared" si="18"/>
        <v>5987300</v>
      </c>
      <c r="E87" s="60">
        <v>5443000.0</v>
      </c>
      <c r="F87" s="61">
        <f t="shared" si="19"/>
        <v>544300</v>
      </c>
      <c r="G87" s="62">
        <v>10000.0</v>
      </c>
      <c r="H87" s="63">
        <v>2.0</v>
      </c>
      <c r="I87" s="63">
        <v>0.0</v>
      </c>
      <c r="J87" s="64">
        <f t="shared" si="20"/>
        <v>20000</v>
      </c>
      <c r="K87" s="65">
        <f t="shared" si="21"/>
        <v>6007300</v>
      </c>
      <c r="M87" s="8" t="str">
        <f t="shared" si="22"/>
        <v>XE Ô TÔ KD VẬN TẢI</v>
      </c>
      <c r="N87" s="33" t="s">
        <v>177</v>
      </c>
      <c r="O87" s="33">
        <v>46.0</v>
      </c>
      <c r="P87" s="33" t="s">
        <v>177</v>
      </c>
      <c r="Q87" s="33">
        <f t="shared" si="23"/>
        <v>2</v>
      </c>
      <c r="R87" s="8" t="str">
        <f t="shared" si="24"/>
        <v>new AutomobilesFullTypeObject() { DisplayName = "XE Ô TÔ KD VẬN TẢI", AutomobileType = AutomobileTypeEnum.COMMERCIAL, Attributes_Seat = "46", Attributes_Category = AutomobileTypeCategoryEnum.COMMERCIAL },</v>
      </c>
    </row>
    <row r="88" ht="13.5" customHeight="1">
      <c r="A88" s="57">
        <f t="shared" si="25"/>
        <v>44</v>
      </c>
      <c r="B88" s="80" t="s">
        <v>171</v>
      </c>
      <c r="C88" s="76"/>
      <c r="D88" s="59">
        <f t="shared" si="18"/>
        <v>6020300</v>
      </c>
      <c r="E88" s="60">
        <v>5473000.0</v>
      </c>
      <c r="F88" s="61">
        <f t="shared" si="19"/>
        <v>547300</v>
      </c>
      <c r="G88" s="62">
        <v>10000.0</v>
      </c>
      <c r="H88" s="63">
        <v>2.0</v>
      </c>
      <c r="I88" s="63">
        <v>0.0</v>
      </c>
      <c r="J88" s="64">
        <f t="shared" si="20"/>
        <v>20000</v>
      </c>
      <c r="K88" s="65">
        <f t="shared" si="21"/>
        <v>6040300</v>
      </c>
      <c r="M88" s="8" t="str">
        <f t="shared" si="22"/>
        <v>XE Ô TÔ KD VẬN TẢI</v>
      </c>
      <c r="N88" s="33" t="s">
        <v>177</v>
      </c>
      <c r="O88" s="33">
        <v>47.0</v>
      </c>
      <c r="P88" s="33" t="s">
        <v>177</v>
      </c>
      <c r="Q88" s="33">
        <f t="shared" si="23"/>
        <v>2</v>
      </c>
      <c r="R88" s="8" t="str">
        <f t="shared" si="24"/>
        <v>new AutomobilesFullTypeObject() { DisplayName = "XE Ô TÔ KD VẬN TẢI", AutomobileType = AutomobileTypeEnum.COMMERCIAL, Attributes_Seat = "47", Attributes_Category = AutomobileTypeCategoryEnum.COMMERCIAL },</v>
      </c>
    </row>
    <row r="89" ht="13.5" customHeight="1">
      <c r="A89" s="57">
        <f t="shared" si="25"/>
        <v>45</v>
      </c>
      <c r="B89" s="80" t="s">
        <v>197</v>
      </c>
      <c r="C89" s="76"/>
      <c r="D89" s="59">
        <f t="shared" si="18"/>
        <v>6053300</v>
      </c>
      <c r="E89" s="60">
        <v>5503000.0</v>
      </c>
      <c r="F89" s="61">
        <f t="shared" si="19"/>
        <v>550300</v>
      </c>
      <c r="G89" s="62">
        <v>10000.0</v>
      </c>
      <c r="H89" s="63">
        <v>2.0</v>
      </c>
      <c r="I89" s="63">
        <v>0.0</v>
      </c>
      <c r="J89" s="64">
        <f t="shared" si="20"/>
        <v>20000</v>
      </c>
      <c r="K89" s="65">
        <f t="shared" si="21"/>
        <v>6073300</v>
      </c>
      <c r="M89" s="8" t="str">
        <f t="shared" si="22"/>
        <v>XE Ô TÔ KD VẬN TẢI</v>
      </c>
      <c r="N89" s="33" t="s">
        <v>177</v>
      </c>
      <c r="O89" s="33">
        <v>48.0</v>
      </c>
      <c r="P89" s="33" t="s">
        <v>177</v>
      </c>
      <c r="Q89" s="33">
        <f t="shared" si="23"/>
        <v>2</v>
      </c>
      <c r="R89" s="8" t="str">
        <f t="shared" si="24"/>
        <v>new AutomobilesFullTypeObject() { DisplayName = "XE Ô TÔ KD VẬN TẢI", AutomobileType = AutomobileTypeEnum.COMMERCIAL, Attributes_Seat = "48", Attributes_Category = AutomobileTypeCategoryEnum.COMMERCIAL },</v>
      </c>
    </row>
    <row r="90" ht="13.5" customHeight="1">
      <c r="A90" s="57">
        <f t="shared" si="25"/>
        <v>46</v>
      </c>
      <c r="B90" s="80" t="s">
        <v>198</v>
      </c>
      <c r="C90" s="76"/>
      <c r="D90" s="59">
        <f t="shared" si="18"/>
        <v>6086300</v>
      </c>
      <c r="E90" s="60">
        <v>5533000.0</v>
      </c>
      <c r="F90" s="61">
        <f t="shared" si="19"/>
        <v>553300</v>
      </c>
      <c r="G90" s="62">
        <v>10000.0</v>
      </c>
      <c r="H90" s="63">
        <v>2.0</v>
      </c>
      <c r="I90" s="63">
        <v>0.0</v>
      </c>
      <c r="J90" s="64">
        <f t="shared" si="20"/>
        <v>20000</v>
      </c>
      <c r="K90" s="65">
        <f t="shared" si="21"/>
        <v>6106300</v>
      </c>
      <c r="M90" s="8" t="str">
        <f t="shared" si="22"/>
        <v>XE Ô TÔ KD VẬN TẢI</v>
      </c>
      <c r="N90" s="33" t="s">
        <v>177</v>
      </c>
      <c r="O90" s="33">
        <v>49.0</v>
      </c>
      <c r="P90" s="33" t="s">
        <v>177</v>
      </c>
      <c r="Q90" s="33">
        <f t="shared" si="23"/>
        <v>2</v>
      </c>
      <c r="R90" s="8" t="str">
        <f t="shared" si="24"/>
        <v>new AutomobilesFullTypeObject() { DisplayName = "XE Ô TÔ KD VẬN TẢI", AutomobileType = AutomobileTypeEnum.COMMERCIAL, Attributes_Seat = "49", Attributes_Category = AutomobileTypeCategoryEnum.COMMERCIAL },</v>
      </c>
    </row>
    <row r="91" ht="13.5" customHeight="1">
      <c r="A91" s="57">
        <f t="shared" si="25"/>
        <v>47</v>
      </c>
      <c r="B91" s="80" t="s">
        <v>172</v>
      </c>
      <c r="C91" s="76"/>
      <c r="D91" s="59">
        <f t="shared" si="18"/>
        <v>6119300</v>
      </c>
      <c r="E91" s="60">
        <v>5563000.0</v>
      </c>
      <c r="F91" s="61">
        <f t="shared" si="19"/>
        <v>556300</v>
      </c>
      <c r="G91" s="62">
        <v>10000.0</v>
      </c>
      <c r="H91" s="63">
        <v>2.0</v>
      </c>
      <c r="I91" s="63">
        <v>0.0</v>
      </c>
      <c r="J91" s="64">
        <f t="shared" si="20"/>
        <v>20000</v>
      </c>
      <c r="K91" s="65">
        <f t="shared" si="21"/>
        <v>6139300</v>
      </c>
      <c r="M91" s="8" t="str">
        <f t="shared" si="22"/>
        <v>XE Ô TÔ KD VẬN TẢI</v>
      </c>
      <c r="N91" s="33" t="s">
        <v>177</v>
      </c>
      <c r="O91" s="33">
        <v>50.0</v>
      </c>
      <c r="P91" s="33" t="s">
        <v>177</v>
      </c>
      <c r="Q91" s="33">
        <f t="shared" si="23"/>
        <v>2</v>
      </c>
      <c r="R91" s="8" t="str">
        <f t="shared" si="24"/>
        <v>new AutomobilesFullTypeObject() { DisplayName = "XE Ô TÔ KD VẬN TẢI", AutomobileType = AutomobileTypeEnum.COMMERCIAL, Attributes_Seat = "50", Attributes_Category = AutomobileTypeCategoryEnum.COMMERCIAL },</v>
      </c>
    </row>
    <row r="92" ht="13.5" customHeight="1">
      <c r="A92" s="57">
        <f t="shared" si="25"/>
        <v>48</v>
      </c>
      <c r="B92" s="80" t="s">
        <v>199</v>
      </c>
      <c r="C92" s="76"/>
      <c r="D92" s="59">
        <f t="shared" si="18"/>
        <v>6152300</v>
      </c>
      <c r="E92" s="60">
        <v>5593000.0</v>
      </c>
      <c r="F92" s="61">
        <f t="shared" si="19"/>
        <v>559300</v>
      </c>
      <c r="G92" s="62">
        <v>10000.0</v>
      </c>
      <c r="H92" s="63">
        <v>2.0</v>
      </c>
      <c r="I92" s="63">
        <v>0.0</v>
      </c>
      <c r="J92" s="64">
        <f t="shared" si="20"/>
        <v>20000</v>
      </c>
      <c r="K92" s="65">
        <f t="shared" si="21"/>
        <v>6172300</v>
      </c>
      <c r="M92" s="8" t="str">
        <f t="shared" si="22"/>
        <v>XE Ô TÔ KD VẬN TẢI</v>
      </c>
      <c r="N92" s="33" t="s">
        <v>177</v>
      </c>
      <c r="O92" s="33">
        <v>51.0</v>
      </c>
      <c r="P92" s="33" t="s">
        <v>177</v>
      </c>
      <c r="Q92" s="33">
        <f t="shared" si="23"/>
        <v>2</v>
      </c>
      <c r="R92" s="8" t="str">
        <f t="shared" si="24"/>
        <v>new AutomobilesFullTypeObject() { DisplayName = "XE Ô TÔ KD VẬN TẢI", AutomobileType = AutomobileTypeEnum.COMMERCIAL, Attributes_Seat = "51", Attributes_Category = AutomobileTypeCategoryEnum.COMMERCIAL },</v>
      </c>
    </row>
    <row r="93" ht="13.5" customHeight="1">
      <c r="A93" s="57">
        <f t="shared" si="25"/>
        <v>49</v>
      </c>
      <c r="B93" s="80" t="s">
        <v>173</v>
      </c>
      <c r="C93" s="76"/>
      <c r="D93" s="59">
        <f t="shared" si="18"/>
        <v>6284300</v>
      </c>
      <c r="E93" s="61">
        <v>5713000.0</v>
      </c>
      <c r="F93" s="61">
        <f t="shared" si="19"/>
        <v>571300</v>
      </c>
      <c r="G93" s="62">
        <v>10000.0</v>
      </c>
      <c r="H93" s="63">
        <v>2.0</v>
      </c>
      <c r="I93" s="63">
        <v>0.0</v>
      </c>
      <c r="J93" s="64">
        <f t="shared" si="20"/>
        <v>20000</v>
      </c>
      <c r="K93" s="65">
        <f t="shared" si="21"/>
        <v>6304300</v>
      </c>
      <c r="M93" s="8" t="str">
        <f t="shared" si="22"/>
        <v>XE Ô TÔ KD VẬN TẢI</v>
      </c>
      <c r="N93" s="33" t="s">
        <v>177</v>
      </c>
      <c r="O93" s="33">
        <v>55.0</v>
      </c>
      <c r="P93" s="33" t="s">
        <v>177</v>
      </c>
      <c r="Q93" s="33">
        <f t="shared" si="23"/>
        <v>2</v>
      </c>
      <c r="R93" s="8" t="str">
        <f t="shared" si="24"/>
        <v>new AutomobilesFullTypeObject() { DisplayName = "XE Ô TÔ KD VẬN TẢI", AutomobileType = AutomobileTypeEnum.COMMERCIAL, Attributes_Seat = "55", Attributes_Category = AutomobileTypeCategoryEnum.COMMERCIAL },</v>
      </c>
    </row>
    <row r="94" ht="13.5" customHeight="1">
      <c r="A94" s="57">
        <f t="shared" si="25"/>
        <v>50</v>
      </c>
      <c r="B94" s="80" t="s">
        <v>174</v>
      </c>
      <c r="C94" s="76"/>
      <c r="D94" s="59">
        <f t="shared" si="18"/>
        <v>6449300</v>
      </c>
      <c r="E94" s="61">
        <v>5863000.0</v>
      </c>
      <c r="F94" s="61">
        <f t="shared" si="19"/>
        <v>586300</v>
      </c>
      <c r="G94" s="62">
        <v>10000.0</v>
      </c>
      <c r="H94" s="63">
        <v>2.0</v>
      </c>
      <c r="I94" s="63">
        <v>0.0</v>
      </c>
      <c r="J94" s="64">
        <f t="shared" si="20"/>
        <v>20000</v>
      </c>
      <c r="K94" s="65">
        <f t="shared" si="21"/>
        <v>6469300</v>
      </c>
      <c r="M94" s="8" t="str">
        <f t="shared" si="22"/>
        <v>XE Ô TÔ KD VẬN TẢI</v>
      </c>
      <c r="N94" s="33" t="s">
        <v>177</v>
      </c>
      <c r="O94" s="33">
        <v>60.0</v>
      </c>
      <c r="P94" s="33" t="s">
        <v>177</v>
      </c>
      <c r="Q94" s="33">
        <f t="shared" si="23"/>
        <v>2</v>
      </c>
      <c r="R94" s="8" t="str">
        <f t="shared" si="24"/>
        <v>new AutomobilesFullTypeObject() { DisplayName = "XE Ô TÔ KD VẬN TẢI", AutomobileType = AutomobileTypeEnum.COMMERCIAL, Attributes_Seat = "60", Attributes_Category = AutomobileTypeCategoryEnum.COMMERCIAL },</v>
      </c>
    </row>
    <row r="95" ht="13.5" customHeight="1">
      <c r="A95" s="81" t="s">
        <v>200</v>
      </c>
      <c r="B95" s="55"/>
      <c r="C95" s="55"/>
      <c r="D95" s="55"/>
      <c r="E95" s="55"/>
      <c r="F95" s="55"/>
      <c r="G95" s="55"/>
      <c r="H95" s="55"/>
      <c r="I95" s="55"/>
      <c r="J95" s="43"/>
      <c r="K95" s="82"/>
      <c r="N95" s="33"/>
      <c r="O95" s="33"/>
      <c r="P95" s="33"/>
      <c r="Q95" s="33"/>
    </row>
    <row r="96" ht="13.5" customHeight="1">
      <c r="A96" s="77"/>
      <c r="B96" s="68"/>
      <c r="C96" s="68"/>
      <c r="D96" s="68"/>
      <c r="E96" s="68"/>
      <c r="F96" s="68"/>
      <c r="G96" s="78"/>
      <c r="H96" s="78"/>
      <c r="I96" s="78"/>
      <c r="J96" s="78"/>
      <c r="K96" s="73"/>
      <c r="N96" s="33"/>
      <c r="O96" s="33"/>
      <c r="P96" s="33"/>
      <c r="Q96" s="33"/>
    </row>
    <row r="97" ht="13.5" customHeight="1">
      <c r="A97" s="74" t="s">
        <v>201</v>
      </c>
      <c r="B97" s="54" t="s">
        <v>202</v>
      </c>
      <c r="C97" s="55"/>
      <c r="D97" s="55"/>
      <c r="E97" s="55"/>
      <c r="F97" s="55"/>
      <c r="G97" s="55"/>
      <c r="H97" s="55"/>
      <c r="I97" s="55"/>
      <c r="J97" s="55"/>
      <c r="K97" s="56"/>
      <c r="L97" s="8" t="s">
        <v>203</v>
      </c>
      <c r="N97" s="33"/>
      <c r="O97" s="33"/>
      <c r="P97" s="33"/>
      <c r="Q97" s="33"/>
    </row>
    <row r="98" ht="13.5" customHeight="1">
      <c r="A98" s="57">
        <v>1.0</v>
      </c>
      <c r="B98" s="83" t="s">
        <v>204</v>
      </c>
      <c r="C98" s="84"/>
      <c r="D98" s="59">
        <f t="shared" ref="D98:D101" si="26">+E98*110%</f>
        <v>938300</v>
      </c>
      <c r="E98" s="60">
        <v>853000.0</v>
      </c>
      <c r="F98" s="61">
        <f t="shared" ref="F98:F101" si="27">E98*10%</f>
        <v>85300</v>
      </c>
      <c r="G98" s="62">
        <v>10000.0</v>
      </c>
      <c r="H98" s="63">
        <v>3.0</v>
      </c>
      <c r="I98" s="63"/>
      <c r="J98" s="64">
        <f t="shared" ref="J98:J101" si="28">+G98*(H98+I98)</f>
        <v>30000</v>
      </c>
      <c r="K98" s="65">
        <f t="shared" ref="K98:K101" si="29">+D98+J98</f>
        <v>968300</v>
      </c>
      <c r="M98" s="8" t="str">
        <f t="shared" ref="M98:M101" si="30">$L$97&amp;" "&amp;B98</f>
        <v>XE Ô TÔ CHỞ HÀNG, XE TẢI Dưới 3 tấn</v>
      </c>
      <c r="N98" s="33" t="s">
        <v>205</v>
      </c>
      <c r="O98" s="33">
        <v>3.0</v>
      </c>
      <c r="P98" s="33" t="s">
        <v>206</v>
      </c>
      <c r="Q98" s="33">
        <v>3.0</v>
      </c>
      <c r="R98" s="8" t="str">
        <f t="shared" ref="R98:R101" si="31">"new AutomobilesFullTypeObject() { DisplayName = """&amp;M98&amp;""", AutomobileType = AutomobileTypeEnum."&amp;N98&amp;", Attributes_Seat = """&amp;O98&amp;""", Attributes_Category = AutomobileTypeCategoryEnum."&amp;P98&amp;" },"</f>
        <v>new AutomobilesFullTypeObject() { DisplayName = "XE Ô TÔ CHỞ HÀNG, XE TẢI Dưới 3 tấn", AutomobileType = AutomobileTypeEnum.DELIVERY_TRUCK, Attributes_Seat = "3", Attributes_Category = AutomobileTypeCategoryEnum.UNDER_THREE_TONS },</v>
      </c>
    </row>
    <row r="99" ht="13.5" customHeight="1">
      <c r="A99" s="57">
        <v>2.0</v>
      </c>
      <c r="B99" s="83" t="s">
        <v>207</v>
      </c>
      <c r="C99" s="84"/>
      <c r="D99" s="59">
        <f t="shared" si="26"/>
        <v>1826000</v>
      </c>
      <c r="E99" s="60">
        <v>1660000.0</v>
      </c>
      <c r="F99" s="61">
        <f t="shared" si="27"/>
        <v>166000</v>
      </c>
      <c r="G99" s="62">
        <v>10000.0</v>
      </c>
      <c r="H99" s="63">
        <v>3.0</v>
      </c>
      <c r="I99" s="63"/>
      <c r="J99" s="64">
        <f t="shared" si="28"/>
        <v>30000</v>
      </c>
      <c r="K99" s="65">
        <f t="shared" si="29"/>
        <v>1856000</v>
      </c>
      <c r="M99" s="8" t="str">
        <f t="shared" si="30"/>
        <v>XE Ô TÔ CHỞ HÀNG, XE TẢI Từ 3 đến 8 tấn</v>
      </c>
      <c r="N99" s="33" t="s">
        <v>205</v>
      </c>
      <c r="O99" s="33">
        <v>3.0</v>
      </c>
      <c r="P99" s="33" t="s">
        <v>208</v>
      </c>
      <c r="Q99" s="33">
        <v>3.0</v>
      </c>
      <c r="R99" s="8" t="str">
        <f t="shared" si="31"/>
        <v>new AutomobilesFullTypeObject() { DisplayName = "XE Ô TÔ CHỞ HÀNG, XE TẢI Từ 3 đến 8 tấn", AutomobileType = AutomobileTypeEnum.DELIVERY_TRUCK, Attributes_Seat = "3", Attributes_Category = AutomobileTypeCategoryEnum.THREE_TO_EIGHT_TONS },</v>
      </c>
    </row>
    <row r="100" ht="13.5" customHeight="1">
      <c r="A100" s="57">
        <v>3.0</v>
      </c>
      <c r="B100" s="83" t="s">
        <v>209</v>
      </c>
      <c r="C100" s="84"/>
      <c r="D100" s="59">
        <f t="shared" si="26"/>
        <v>3020600</v>
      </c>
      <c r="E100" s="60">
        <v>2746000.0</v>
      </c>
      <c r="F100" s="61">
        <f t="shared" si="27"/>
        <v>274600</v>
      </c>
      <c r="G100" s="62">
        <v>10000.0</v>
      </c>
      <c r="H100" s="63">
        <v>3.0</v>
      </c>
      <c r="I100" s="63"/>
      <c r="J100" s="64">
        <f t="shared" si="28"/>
        <v>30000</v>
      </c>
      <c r="K100" s="65">
        <f t="shared" si="29"/>
        <v>3050600</v>
      </c>
      <c r="M100" s="8" t="str">
        <f t="shared" si="30"/>
        <v>XE Ô TÔ CHỞ HÀNG, XE TẢI Trên 8 đến 15 tấn</v>
      </c>
      <c r="N100" s="33" t="s">
        <v>205</v>
      </c>
      <c r="O100" s="33">
        <v>3.0</v>
      </c>
      <c r="P100" s="33" t="s">
        <v>210</v>
      </c>
      <c r="Q100" s="33">
        <v>3.0</v>
      </c>
      <c r="R100" s="8" t="str">
        <f t="shared" si="31"/>
        <v>new AutomobilesFullTypeObject() { DisplayName = "XE Ô TÔ CHỞ HÀNG, XE TẢI Trên 8 đến 15 tấn", AutomobileType = AutomobileTypeEnum.DELIVERY_TRUCK, Attributes_Seat = "3", Attributes_Category = AutomobileTypeCategoryEnum.EIGHT_TO_FIFTEEN_TONS },</v>
      </c>
    </row>
    <row r="101" ht="13.5" customHeight="1">
      <c r="A101" s="57">
        <v>4.0</v>
      </c>
      <c r="B101" s="83" t="s">
        <v>211</v>
      </c>
      <c r="C101" s="84"/>
      <c r="D101" s="59">
        <f t="shared" si="26"/>
        <v>3520000</v>
      </c>
      <c r="E101" s="60">
        <v>3200000.0</v>
      </c>
      <c r="F101" s="61">
        <f t="shared" si="27"/>
        <v>320000</v>
      </c>
      <c r="G101" s="62">
        <v>10000.0</v>
      </c>
      <c r="H101" s="63">
        <v>3.0</v>
      </c>
      <c r="I101" s="63"/>
      <c r="J101" s="64">
        <f t="shared" si="28"/>
        <v>30000</v>
      </c>
      <c r="K101" s="65">
        <f t="shared" si="29"/>
        <v>3550000</v>
      </c>
      <c r="M101" s="8" t="str">
        <f t="shared" si="30"/>
        <v>XE Ô TÔ CHỞ HÀNG, XE TẢI Trên 15 tấn</v>
      </c>
      <c r="N101" s="33" t="s">
        <v>205</v>
      </c>
      <c r="O101" s="33">
        <v>3.0</v>
      </c>
      <c r="P101" s="33" t="s">
        <v>212</v>
      </c>
      <c r="Q101" s="33">
        <v>3.0</v>
      </c>
      <c r="R101" s="8" t="str">
        <f t="shared" si="31"/>
        <v>new AutomobilesFullTypeObject() { DisplayName = "XE Ô TÔ CHỞ HÀNG, XE TẢI Trên 15 tấn", AutomobileType = AutomobileTypeEnum.DELIVERY_TRUCK, Attributes_Seat = "3", Attributes_Category = AutomobileTypeCategoryEnum.OVER_FIFTEEN_TONS },</v>
      </c>
    </row>
    <row r="102" ht="13.5" customHeight="1">
      <c r="A102" s="77"/>
      <c r="B102" s="68"/>
      <c r="C102" s="68"/>
      <c r="D102" s="68"/>
      <c r="E102" s="68"/>
      <c r="F102" s="68"/>
      <c r="G102" s="78"/>
      <c r="H102" s="78"/>
      <c r="I102" s="78"/>
      <c r="J102" s="78"/>
      <c r="K102" s="73"/>
      <c r="N102" s="33"/>
      <c r="O102" s="33"/>
      <c r="P102" s="33"/>
      <c r="Q102" s="33"/>
    </row>
    <row r="103" ht="13.5" customHeight="1">
      <c r="A103" s="74" t="s">
        <v>213</v>
      </c>
      <c r="B103" s="54" t="s">
        <v>214</v>
      </c>
      <c r="C103" s="55"/>
      <c r="D103" s="55"/>
      <c r="E103" s="55"/>
      <c r="F103" s="55"/>
      <c r="G103" s="55"/>
      <c r="H103" s="55"/>
      <c r="I103" s="55"/>
      <c r="J103" s="55"/>
      <c r="K103" s="56"/>
      <c r="L103" s="8" t="s">
        <v>215</v>
      </c>
      <c r="N103" s="33"/>
      <c r="O103" s="33"/>
      <c r="P103" s="33"/>
      <c r="Q103" s="33"/>
    </row>
    <row r="104" ht="13.5" customHeight="1">
      <c r="A104" s="57">
        <v>1.0</v>
      </c>
      <c r="B104" s="85" t="s">
        <v>87</v>
      </c>
      <c r="C104" s="86"/>
      <c r="D104" s="59">
        <f t="shared" ref="D104:D105" si="32">+E104*110%</f>
        <v>480700</v>
      </c>
      <c r="E104" s="60">
        <v>437000.0</v>
      </c>
      <c r="F104" s="61">
        <f t="shared" ref="F104:F105" si="33">E104*10%</f>
        <v>43700</v>
      </c>
      <c r="G104" s="62">
        <v>10000.0</v>
      </c>
      <c r="H104" s="63">
        <v>1.0</v>
      </c>
      <c r="I104" s="63"/>
      <c r="J104" s="64">
        <v>10000.0</v>
      </c>
      <c r="K104" s="65">
        <f t="shared" ref="K104:K105" si="34">+D104+J104</f>
        <v>490700</v>
      </c>
      <c r="M104" s="8" t="s">
        <v>87</v>
      </c>
      <c r="N104" s="33" t="s">
        <v>216</v>
      </c>
      <c r="O104" s="33">
        <v>1.0</v>
      </c>
      <c r="P104" s="33" t="s">
        <v>147</v>
      </c>
      <c r="Q104" s="33">
        <v>1.0</v>
      </c>
      <c r="R104" s="8" t="str">
        <f t="shared" ref="R104:R105" si="35">"new AutomobilesFullTypeObject() { DisplayName = """&amp;M104&amp;""", AutomobileType = AutomobileTypeEnum."&amp;N104&amp;", Attributes_Seat = """&amp;O104&amp;""", Attributes_Category = AutomobileTypeCategoryEnum."&amp;P104&amp;" },"</f>
        <v>new AutomobilesFullTypeObject() { DisplayName = "Vừa chở hàng và người (Mini van, Pickup) Không KD", AutomobileType = AutomobileTypeEnum.MINI_VAN, Attributes_Seat = "1", Attributes_Category = AutomobileTypeCategoryEnum.NON_COMMERCIAL },</v>
      </c>
    </row>
    <row r="105" ht="13.5" customHeight="1">
      <c r="A105" s="57">
        <f>+A104+1</f>
        <v>2</v>
      </c>
      <c r="B105" s="85" t="s">
        <v>90</v>
      </c>
      <c r="C105" s="86"/>
      <c r="D105" s="59">
        <f t="shared" si="32"/>
        <v>1026300</v>
      </c>
      <c r="E105" s="60">
        <v>933000.0</v>
      </c>
      <c r="F105" s="61">
        <f t="shared" si="33"/>
        <v>93300</v>
      </c>
      <c r="G105" s="62">
        <v>10000.0</v>
      </c>
      <c r="H105" s="63">
        <v>1.0</v>
      </c>
      <c r="I105" s="63"/>
      <c r="J105" s="64">
        <v>10000.0</v>
      </c>
      <c r="K105" s="65">
        <f t="shared" si="34"/>
        <v>1036300</v>
      </c>
      <c r="M105" s="8" t="s">
        <v>90</v>
      </c>
      <c r="N105" s="33" t="s">
        <v>216</v>
      </c>
      <c r="O105" s="33">
        <v>1.0</v>
      </c>
      <c r="P105" s="33" t="s">
        <v>177</v>
      </c>
      <c r="Q105" s="33">
        <v>1.0</v>
      </c>
      <c r="R105" s="8" t="str">
        <f t="shared" si="35"/>
        <v>new AutomobilesFullTypeObject() { DisplayName = "Vừa chở hàng và người (Mini van, Pickup) Kinh doanh", AutomobileType = AutomobileTypeEnum.MINI_VAN, Attributes_Seat = "1", Attributes_Category = AutomobileTypeCategoryEnum.COMMERCIAL },</v>
      </c>
    </row>
    <row r="106" ht="13.5" customHeight="1">
      <c r="A106" s="77"/>
      <c r="B106" s="68"/>
      <c r="C106" s="68"/>
      <c r="D106" s="68"/>
      <c r="E106" s="68"/>
      <c r="F106" s="68"/>
      <c r="G106" s="78"/>
      <c r="H106" s="78"/>
      <c r="I106" s="78"/>
      <c r="J106" s="78"/>
      <c r="K106" s="73"/>
      <c r="N106" s="33"/>
      <c r="O106" s="33"/>
      <c r="P106" s="33"/>
      <c r="Q106" s="33"/>
    </row>
    <row r="107" ht="13.5" customHeight="1">
      <c r="A107" s="74" t="s">
        <v>217</v>
      </c>
      <c r="B107" s="54" t="s">
        <v>218</v>
      </c>
      <c r="C107" s="55"/>
      <c r="D107" s="55"/>
      <c r="E107" s="55"/>
      <c r="F107" s="55"/>
      <c r="G107" s="55"/>
      <c r="H107" s="55"/>
      <c r="I107" s="55"/>
      <c r="J107" s="55"/>
      <c r="K107" s="56"/>
      <c r="L107" s="8" t="s">
        <v>114</v>
      </c>
      <c r="N107" s="33"/>
      <c r="O107" s="33"/>
      <c r="P107" s="33"/>
      <c r="Q107" s="33"/>
    </row>
    <row r="108" ht="13.5" customHeight="1">
      <c r="A108" s="57">
        <v>1.0</v>
      </c>
      <c r="B108" s="80" t="s">
        <v>219</v>
      </c>
      <c r="C108" s="76"/>
      <c r="D108" s="59">
        <f t="shared" ref="D108:D119" si="36">+E108*110%</f>
        <v>1413720</v>
      </c>
      <c r="E108" s="60">
        <v>1285200.0</v>
      </c>
      <c r="F108" s="61">
        <f t="shared" ref="F108:F119" si="37">E108*10%</f>
        <v>128520</v>
      </c>
      <c r="G108" s="62">
        <v>10000.0</v>
      </c>
      <c r="H108" s="63">
        <v>1.0</v>
      </c>
      <c r="I108" s="63">
        <v>0.0</v>
      </c>
      <c r="J108" s="64">
        <f t="shared" ref="J108:J119" si="38">+G108*(H108+I108)</f>
        <v>10000</v>
      </c>
      <c r="K108" s="65">
        <f t="shared" ref="K108:K119" si="39">+D108+J108</f>
        <v>1423720</v>
      </c>
      <c r="M108" s="8" t="str">
        <f>$L$107&amp;" "&amp;B108</f>
        <v>XE TAXI Dưới 06 chỗ</v>
      </c>
      <c r="N108" s="33" t="s">
        <v>220</v>
      </c>
      <c r="O108" s="33" t="s">
        <v>221</v>
      </c>
      <c r="P108" s="33" t="s">
        <v>177</v>
      </c>
      <c r="Q108" s="33">
        <v>1.0</v>
      </c>
      <c r="R108" s="8" t="str">
        <f t="shared" ref="R108:R119" si="40">"new AutomobilesFullTypeObject() { DisplayName = """&amp;M108&amp;""", AutomobileType = AutomobileTypeEnum."&amp;N108&amp;", Attributes_Seat = """&amp;O108&amp;""", Attributes_Category = AutomobileTypeCategoryEnum."&amp;P108&amp;" },"</f>
        <v>new AutomobilesFullTypeObject() { DisplayName = "XE TAXI Dưới 06 chỗ", AutomobileType = AutomobileTypeEnum.TAXI, Attributes_Seat = "UNDER_SIX", Attributes_Category = AutomobileTypeCategoryEnum.COMMERCIAL },</v>
      </c>
    </row>
    <row r="109" ht="13.5" customHeight="1">
      <c r="A109" s="57">
        <f t="shared" ref="A109:A119" si="41">+A108+1</f>
        <v>2</v>
      </c>
      <c r="B109" s="80" t="s">
        <v>149</v>
      </c>
      <c r="C109" s="76"/>
      <c r="D109" s="59">
        <f t="shared" si="36"/>
        <v>1737230</v>
      </c>
      <c r="E109" s="60">
        <v>1579300.0</v>
      </c>
      <c r="F109" s="61">
        <f t="shared" si="37"/>
        <v>157930</v>
      </c>
      <c r="G109" s="62">
        <v>10000.0</v>
      </c>
      <c r="H109" s="63">
        <v>1.0</v>
      </c>
      <c r="I109" s="63">
        <v>0.0</v>
      </c>
      <c r="J109" s="64">
        <f t="shared" si="38"/>
        <v>10000</v>
      </c>
      <c r="K109" s="65">
        <f t="shared" si="39"/>
        <v>1747230</v>
      </c>
      <c r="M109" s="8" t="str">
        <f t="shared" ref="M109:M119" si="42">$L$107</f>
        <v>XE TAXI</v>
      </c>
      <c r="N109" s="33" t="s">
        <v>220</v>
      </c>
      <c r="O109" s="33">
        <v>6.0</v>
      </c>
      <c r="P109" s="33" t="s">
        <v>177</v>
      </c>
      <c r="Q109" s="33">
        <v>1.0</v>
      </c>
      <c r="R109" s="8" t="str">
        <f t="shared" si="40"/>
        <v>new AutomobilesFullTypeObject() { DisplayName = "XE TAXI", AutomobileType = AutomobileTypeEnum.TAXI, Attributes_Seat = "6", Attributes_Category = AutomobileTypeCategoryEnum.COMMERCIAL },</v>
      </c>
    </row>
    <row r="110" ht="13.5" customHeight="1">
      <c r="A110" s="57">
        <f t="shared" si="41"/>
        <v>3</v>
      </c>
      <c r="B110" s="80" t="s">
        <v>150</v>
      </c>
      <c r="C110" s="76"/>
      <c r="D110" s="59">
        <f t="shared" si="36"/>
        <v>2019600</v>
      </c>
      <c r="E110" s="60">
        <v>1836000.0</v>
      </c>
      <c r="F110" s="61">
        <f t="shared" si="37"/>
        <v>183600</v>
      </c>
      <c r="G110" s="62">
        <v>10000.0</v>
      </c>
      <c r="H110" s="63">
        <v>1.0</v>
      </c>
      <c r="I110" s="63">
        <v>0.0</v>
      </c>
      <c r="J110" s="64">
        <f t="shared" si="38"/>
        <v>10000</v>
      </c>
      <c r="K110" s="65">
        <f t="shared" si="39"/>
        <v>2029600</v>
      </c>
      <c r="M110" s="8" t="str">
        <f t="shared" si="42"/>
        <v>XE TAXI</v>
      </c>
      <c r="N110" s="33" t="s">
        <v>220</v>
      </c>
      <c r="O110" s="33">
        <v>7.0</v>
      </c>
      <c r="P110" s="33" t="s">
        <v>177</v>
      </c>
      <c r="Q110" s="33">
        <v>1.0</v>
      </c>
      <c r="R110" s="8" t="str">
        <f t="shared" si="40"/>
        <v>new AutomobilesFullTypeObject() { DisplayName = "XE TAXI", AutomobileType = AutomobileTypeEnum.TAXI, Attributes_Seat = "7", Attributes_Category = AutomobileTypeCategoryEnum.COMMERCIAL },</v>
      </c>
    </row>
    <row r="111" ht="13.5" customHeight="1">
      <c r="A111" s="57">
        <f t="shared" si="41"/>
        <v>4</v>
      </c>
      <c r="B111" s="80" t="s">
        <v>151</v>
      </c>
      <c r="C111" s="76"/>
      <c r="D111" s="59">
        <f t="shared" si="36"/>
        <v>2343110</v>
      </c>
      <c r="E111" s="60">
        <v>2130100.0</v>
      </c>
      <c r="F111" s="61">
        <f t="shared" si="37"/>
        <v>213010</v>
      </c>
      <c r="G111" s="62">
        <v>10000.0</v>
      </c>
      <c r="H111" s="63">
        <v>1.0</v>
      </c>
      <c r="I111" s="63">
        <v>0.0</v>
      </c>
      <c r="J111" s="64">
        <f t="shared" si="38"/>
        <v>10000</v>
      </c>
      <c r="K111" s="65">
        <f t="shared" si="39"/>
        <v>2353110</v>
      </c>
      <c r="M111" s="8" t="str">
        <f t="shared" si="42"/>
        <v>XE TAXI</v>
      </c>
      <c r="N111" s="33" t="s">
        <v>220</v>
      </c>
      <c r="O111" s="33">
        <v>8.0</v>
      </c>
      <c r="P111" s="33" t="s">
        <v>177</v>
      </c>
      <c r="Q111" s="33">
        <v>1.0</v>
      </c>
      <c r="R111" s="8" t="str">
        <f t="shared" si="40"/>
        <v>new AutomobilesFullTypeObject() { DisplayName = "XE TAXI", AutomobileType = AutomobileTypeEnum.TAXI, Attributes_Seat = "8", Attributes_Category = AutomobileTypeCategoryEnum.COMMERCIAL },</v>
      </c>
    </row>
    <row r="112" ht="13.5" customHeight="1">
      <c r="A112" s="57">
        <f t="shared" si="41"/>
        <v>5</v>
      </c>
      <c r="B112" s="80" t="s">
        <v>152</v>
      </c>
      <c r="C112" s="76"/>
      <c r="D112" s="59">
        <f t="shared" si="36"/>
        <v>2625480</v>
      </c>
      <c r="E112" s="60">
        <v>2386800.0</v>
      </c>
      <c r="F112" s="61">
        <f t="shared" si="37"/>
        <v>238680</v>
      </c>
      <c r="G112" s="62">
        <v>10000.0</v>
      </c>
      <c r="H112" s="63">
        <v>1.0</v>
      </c>
      <c r="I112" s="63">
        <v>0.0</v>
      </c>
      <c r="J112" s="64">
        <f t="shared" si="38"/>
        <v>10000</v>
      </c>
      <c r="K112" s="65">
        <f t="shared" si="39"/>
        <v>2635480</v>
      </c>
      <c r="M112" s="8" t="str">
        <f t="shared" si="42"/>
        <v>XE TAXI</v>
      </c>
      <c r="N112" s="33" t="s">
        <v>220</v>
      </c>
      <c r="O112" s="33">
        <v>9.0</v>
      </c>
      <c r="P112" s="33" t="s">
        <v>177</v>
      </c>
      <c r="Q112" s="33">
        <v>1.0</v>
      </c>
      <c r="R112" s="8" t="str">
        <f t="shared" si="40"/>
        <v>new AutomobilesFullTypeObject() { DisplayName = "XE TAXI", AutomobileType = AutomobileTypeEnum.TAXI, Attributes_Seat = "9", Attributes_Category = AutomobileTypeCategoryEnum.COMMERCIAL },</v>
      </c>
    </row>
    <row r="113" ht="13.5" customHeight="1">
      <c r="A113" s="57">
        <f t="shared" si="41"/>
        <v>6</v>
      </c>
      <c r="B113" s="80" t="s">
        <v>153</v>
      </c>
      <c r="C113" s="76"/>
      <c r="D113" s="59">
        <f t="shared" si="36"/>
        <v>2827440</v>
      </c>
      <c r="E113" s="60">
        <v>2570400.0</v>
      </c>
      <c r="F113" s="61">
        <f t="shared" si="37"/>
        <v>257040</v>
      </c>
      <c r="G113" s="62">
        <v>10000.0</v>
      </c>
      <c r="H113" s="63">
        <v>1.0</v>
      </c>
      <c r="I113" s="63">
        <v>0.0</v>
      </c>
      <c r="J113" s="64">
        <f t="shared" si="38"/>
        <v>10000</v>
      </c>
      <c r="K113" s="65">
        <f t="shared" si="39"/>
        <v>2837440</v>
      </c>
      <c r="M113" s="8" t="str">
        <f t="shared" si="42"/>
        <v>XE TAXI</v>
      </c>
      <c r="N113" s="33" t="s">
        <v>220</v>
      </c>
      <c r="O113" s="33">
        <v>10.0</v>
      </c>
      <c r="P113" s="33" t="s">
        <v>177</v>
      </c>
      <c r="Q113" s="33">
        <v>1.0</v>
      </c>
      <c r="R113" s="8" t="str">
        <f t="shared" si="40"/>
        <v>new AutomobilesFullTypeObject() { DisplayName = "XE TAXI", AutomobileType = AutomobileTypeEnum.TAXI, Attributes_Seat = "10", Attributes_Category = AutomobileTypeCategoryEnum.COMMERCIAL },</v>
      </c>
    </row>
    <row r="114" ht="13.5" customHeight="1">
      <c r="A114" s="57">
        <f t="shared" si="41"/>
        <v>7</v>
      </c>
      <c r="B114" s="80" t="s">
        <v>154</v>
      </c>
      <c r="C114" s="76"/>
      <c r="D114" s="59">
        <f t="shared" si="36"/>
        <v>3096720</v>
      </c>
      <c r="E114" s="60">
        <v>2815200.0</v>
      </c>
      <c r="F114" s="61">
        <f t="shared" si="37"/>
        <v>281520</v>
      </c>
      <c r="G114" s="62">
        <v>10000.0</v>
      </c>
      <c r="H114" s="63">
        <v>1.0</v>
      </c>
      <c r="I114" s="63">
        <v>0.0</v>
      </c>
      <c r="J114" s="64">
        <f t="shared" si="38"/>
        <v>10000</v>
      </c>
      <c r="K114" s="65">
        <f t="shared" si="39"/>
        <v>3106720</v>
      </c>
      <c r="M114" s="8" t="str">
        <f t="shared" si="42"/>
        <v>XE TAXI</v>
      </c>
      <c r="N114" s="33" t="s">
        <v>220</v>
      </c>
      <c r="O114" s="33">
        <v>11.0</v>
      </c>
      <c r="P114" s="33" t="s">
        <v>177</v>
      </c>
      <c r="Q114" s="33">
        <v>1.0</v>
      </c>
      <c r="R114" s="8" t="str">
        <f t="shared" si="40"/>
        <v>new AutomobilesFullTypeObject() { DisplayName = "XE TAXI", AutomobileType = AutomobileTypeEnum.TAXI, Attributes_Seat = "11", Attributes_Category = AutomobileTypeCategoryEnum.COMMERCIAL },</v>
      </c>
    </row>
    <row r="115" ht="13.5" customHeight="1">
      <c r="A115" s="57">
        <f t="shared" si="41"/>
        <v>8</v>
      </c>
      <c r="B115" s="80" t="s">
        <v>155</v>
      </c>
      <c r="C115" s="76"/>
      <c r="D115" s="59">
        <f t="shared" si="36"/>
        <v>3407140</v>
      </c>
      <c r="E115" s="60">
        <v>3097400.0</v>
      </c>
      <c r="F115" s="61">
        <f t="shared" si="37"/>
        <v>309740</v>
      </c>
      <c r="G115" s="62">
        <v>10000.0</v>
      </c>
      <c r="H115" s="63">
        <v>1.0</v>
      </c>
      <c r="I115" s="63">
        <v>0.0</v>
      </c>
      <c r="J115" s="64">
        <f t="shared" si="38"/>
        <v>10000</v>
      </c>
      <c r="K115" s="65">
        <f t="shared" si="39"/>
        <v>3417140</v>
      </c>
      <c r="M115" s="8" t="str">
        <f t="shared" si="42"/>
        <v>XE TAXI</v>
      </c>
      <c r="N115" s="33" t="s">
        <v>220</v>
      </c>
      <c r="O115" s="33">
        <v>12.0</v>
      </c>
      <c r="P115" s="33" t="s">
        <v>177</v>
      </c>
      <c r="Q115" s="33">
        <v>1.0</v>
      </c>
      <c r="R115" s="8" t="str">
        <f t="shared" si="40"/>
        <v>new AutomobilesFullTypeObject() { DisplayName = "XE TAXI", AutomobileType = AutomobileTypeEnum.TAXI, Attributes_Seat = "12", Attributes_Category = AutomobileTypeCategoryEnum.COMMERCIAL },</v>
      </c>
    </row>
    <row r="116" ht="13.5" customHeight="1">
      <c r="A116" s="57">
        <f t="shared" si="41"/>
        <v>9</v>
      </c>
      <c r="B116" s="80" t="s">
        <v>178</v>
      </c>
      <c r="C116" s="76"/>
      <c r="D116" s="59">
        <f t="shared" si="36"/>
        <v>3831630</v>
      </c>
      <c r="E116" s="60">
        <v>3483300.0</v>
      </c>
      <c r="F116" s="61">
        <f t="shared" si="37"/>
        <v>348330</v>
      </c>
      <c r="G116" s="62">
        <v>10000.0</v>
      </c>
      <c r="H116" s="63">
        <v>1.0</v>
      </c>
      <c r="I116" s="63">
        <v>0.0</v>
      </c>
      <c r="J116" s="64">
        <f t="shared" si="38"/>
        <v>10000</v>
      </c>
      <c r="K116" s="65">
        <f t="shared" si="39"/>
        <v>3841630</v>
      </c>
      <c r="M116" s="8" t="str">
        <f t="shared" si="42"/>
        <v>XE TAXI</v>
      </c>
      <c r="N116" s="33" t="s">
        <v>220</v>
      </c>
      <c r="O116" s="33">
        <v>13.0</v>
      </c>
      <c r="P116" s="33" t="s">
        <v>177</v>
      </c>
      <c r="Q116" s="33">
        <v>1.0</v>
      </c>
      <c r="R116" s="8" t="str">
        <f t="shared" si="40"/>
        <v>new AutomobilesFullTypeObject() { DisplayName = "XE TAXI", AutomobileType = AutomobileTypeEnum.TAXI, Attributes_Seat = "13", Attributes_Category = AutomobileTypeCategoryEnum.COMMERCIAL },</v>
      </c>
    </row>
    <row r="117" ht="13.5" customHeight="1">
      <c r="A117" s="57">
        <f t="shared" si="41"/>
        <v>10</v>
      </c>
      <c r="B117" s="80" t="s">
        <v>179</v>
      </c>
      <c r="C117" s="76"/>
      <c r="D117" s="59">
        <f t="shared" si="36"/>
        <v>4153270</v>
      </c>
      <c r="E117" s="60">
        <v>3775700.0</v>
      </c>
      <c r="F117" s="61">
        <f t="shared" si="37"/>
        <v>377570</v>
      </c>
      <c r="G117" s="62">
        <v>10000.0</v>
      </c>
      <c r="H117" s="63">
        <v>1.0</v>
      </c>
      <c r="I117" s="63">
        <v>0.0</v>
      </c>
      <c r="J117" s="64">
        <f t="shared" si="38"/>
        <v>10000</v>
      </c>
      <c r="K117" s="65">
        <f t="shared" si="39"/>
        <v>4163270</v>
      </c>
      <c r="M117" s="8" t="str">
        <f t="shared" si="42"/>
        <v>XE TAXI</v>
      </c>
      <c r="N117" s="33" t="s">
        <v>220</v>
      </c>
      <c r="O117" s="33">
        <v>14.0</v>
      </c>
      <c r="P117" s="33" t="s">
        <v>177</v>
      </c>
      <c r="Q117" s="33">
        <v>1.0</v>
      </c>
      <c r="R117" s="8" t="str">
        <f t="shared" si="40"/>
        <v>new AutomobilesFullTypeObject() { DisplayName = "XE TAXI", AutomobileType = AutomobileTypeEnum.TAXI, Attributes_Seat = "14", Attributes_Category = AutomobileTypeCategoryEnum.COMMERCIAL },</v>
      </c>
    </row>
    <row r="118" ht="13.5" customHeight="1">
      <c r="A118" s="57">
        <f t="shared" si="41"/>
        <v>11</v>
      </c>
      <c r="B118" s="80" t="s">
        <v>156</v>
      </c>
      <c r="C118" s="76"/>
      <c r="D118" s="59">
        <f t="shared" si="36"/>
        <v>4476780</v>
      </c>
      <c r="E118" s="60">
        <v>4069800.0</v>
      </c>
      <c r="F118" s="61">
        <f t="shared" si="37"/>
        <v>406980</v>
      </c>
      <c r="G118" s="62">
        <v>10000.0</v>
      </c>
      <c r="H118" s="63">
        <v>1.0</v>
      </c>
      <c r="I118" s="63">
        <v>0.0</v>
      </c>
      <c r="J118" s="64">
        <f t="shared" si="38"/>
        <v>10000</v>
      </c>
      <c r="K118" s="65">
        <f t="shared" si="39"/>
        <v>4486780</v>
      </c>
      <c r="M118" s="8" t="str">
        <f t="shared" si="42"/>
        <v>XE TAXI</v>
      </c>
      <c r="N118" s="33" t="s">
        <v>220</v>
      </c>
      <c r="O118" s="33">
        <v>15.0</v>
      </c>
      <c r="P118" s="33" t="s">
        <v>177</v>
      </c>
      <c r="Q118" s="33">
        <v>1.0</v>
      </c>
      <c r="R118" s="8" t="str">
        <f t="shared" si="40"/>
        <v>new AutomobilesFullTypeObject() { DisplayName = "XE TAXI", AutomobileType = AutomobileTypeEnum.TAXI, Attributes_Seat = "15", Attributes_Category = AutomobileTypeCategoryEnum.COMMERCIAL },</v>
      </c>
    </row>
    <row r="119" ht="13.5" customHeight="1">
      <c r="A119" s="57">
        <f t="shared" si="41"/>
        <v>12</v>
      </c>
      <c r="B119" s="80" t="s">
        <v>157</v>
      </c>
      <c r="C119" s="76"/>
      <c r="D119" s="59">
        <f t="shared" si="36"/>
        <v>5710980</v>
      </c>
      <c r="E119" s="60">
        <v>5191800.0</v>
      </c>
      <c r="F119" s="61">
        <f t="shared" si="37"/>
        <v>519180</v>
      </c>
      <c r="G119" s="62">
        <v>10000.0</v>
      </c>
      <c r="H119" s="63">
        <v>1.0</v>
      </c>
      <c r="I119" s="63">
        <v>0.0</v>
      </c>
      <c r="J119" s="64">
        <f t="shared" si="38"/>
        <v>10000</v>
      </c>
      <c r="K119" s="65">
        <f t="shared" si="39"/>
        <v>5720980</v>
      </c>
      <c r="M119" s="8" t="str">
        <f t="shared" si="42"/>
        <v>XE TAXI</v>
      </c>
      <c r="N119" s="33" t="s">
        <v>220</v>
      </c>
      <c r="O119" s="33">
        <v>16.0</v>
      </c>
      <c r="P119" s="33" t="s">
        <v>177</v>
      </c>
      <c r="Q119" s="33">
        <v>1.0</v>
      </c>
      <c r="R119" s="8" t="str">
        <f t="shared" si="40"/>
        <v>new AutomobilesFullTypeObject() { DisplayName = "XE TAXI", AutomobileType = AutomobileTypeEnum.TAXI, Attributes_Seat = "16", Attributes_Category = AutomobileTypeCategoryEnum.COMMERCIAL },</v>
      </c>
    </row>
    <row r="120" ht="13.5" customHeight="1">
      <c r="A120" s="77"/>
      <c r="B120" s="68"/>
      <c r="C120" s="68"/>
      <c r="D120" s="68"/>
      <c r="E120" s="68"/>
      <c r="F120" s="68"/>
      <c r="G120" s="78"/>
      <c r="H120" s="78"/>
      <c r="I120" s="78"/>
      <c r="J120" s="78"/>
      <c r="K120" s="73"/>
      <c r="N120" s="33"/>
      <c r="O120" s="33"/>
      <c r="P120" s="33"/>
      <c r="Q120" s="33"/>
    </row>
    <row r="121" ht="13.5" customHeight="1">
      <c r="A121" s="74" t="s">
        <v>222</v>
      </c>
      <c r="B121" s="54" t="s">
        <v>223</v>
      </c>
      <c r="C121" s="55"/>
      <c r="D121" s="55"/>
      <c r="E121" s="55"/>
      <c r="F121" s="55"/>
      <c r="G121" s="55"/>
      <c r="H121" s="55"/>
      <c r="I121" s="55"/>
      <c r="J121" s="55"/>
      <c r="K121" s="56"/>
      <c r="L121" s="8" t="s">
        <v>224</v>
      </c>
      <c r="N121" s="33"/>
      <c r="O121" s="33"/>
      <c r="P121" s="33"/>
      <c r="Q121" s="33"/>
    </row>
    <row r="122" ht="13.5" customHeight="1">
      <c r="A122" s="87">
        <v>1.0</v>
      </c>
      <c r="B122" s="83" t="s">
        <v>225</v>
      </c>
      <c r="C122" s="88"/>
      <c r="D122" s="89">
        <f>+E122*110%</f>
        <v>5280000</v>
      </c>
      <c r="E122" s="60">
        <v>4800000.0</v>
      </c>
      <c r="F122" s="61">
        <f>E122*10%</f>
        <v>480000</v>
      </c>
      <c r="G122" s="62">
        <v>10000.0</v>
      </c>
      <c r="H122" s="63">
        <v>3.0</v>
      </c>
      <c r="I122" s="63"/>
      <c r="J122" s="64">
        <f>+G122*(H122+I122)</f>
        <v>30000</v>
      </c>
      <c r="K122" s="65">
        <f>+D122+J122</f>
        <v>5310000</v>
      </c>
      <c r="M122" s="8" t="str">
        <f>$L$121&amp;" "&amp;B122</f>
        <v>XE ĐẦU KÉO Các loại</v>
      </c>
      <c r="N122" s="33" t="s">
        <v>226</v>
      </c>
      <c r="O122" s="33">
        <v>3.0</v>
      </c>
      <c r="P122" s="33" t="s">
        <v>227</v>
      </c>
      <c r="Q122" s="33">
        <v>3.0</v>
      </c>
      <c r="R122" s="8" t="str">
        <f>"new AutomobilesFullTypeObject() { DisplayName = """&amp;M122&amp;""", AutomobileType = AutomobileTypeEnum."&amp;N122&amp;", Attributes_Seat = """&amp;O122&amp;""", Attributes_Category = AutomobileTypeCategoryEnum."&amp;P122&amp;" },"</f>
        <v>new AutomobilesFullTypeObject() { DisplayName = "XE ĐẦU KÉO Các loại", AutomobileType = AutomobileTypeEnum.CONTAINER, Attributes_Seat = "3", Attributes_Category = AutomobileTypeCategoryEnum.ALL },</v>
      </c>
    </row>
    <row r="123" ht="13.5" customHeight="1">
      <c r="A123" s="77"/>
      <c r="B123" s="68"/>
      <c r="C123" s="68"/>
      <c r="D123" s="68"/>
      <c r="E123" s="68"/>
      <c r="F123" s="68"/>
      <c r="G123" s="78"/>
      <c r="H123" s="78"/>
      <c r="I123" s="78"/>
      <c r="J123" s="78"/>
      <c r="K123" s="73"/>
      <c r="N123" s="33"/>
      <c r="O123" s="33"/>
      <c r="P123" s="33"/>
      <c r="Q123" s="33"/>
    </row>
    <row r="124" ht="13.5" customHeight="1">
      <c r="A124" s="74" t="s">
        <v>228</v>
      </c>
      <c r="B124" s="54" t="s">
        <v>229</v>
      </c>
      <c r="C124" s="55"/>
      <c r="D124" s="55"/>
      <c r="E124" s="55"/>
      <c r="F124" s="55"/>
      <c r="G124" s="55"/>
      <c r="H124" s="55"/>
      <c r="I124" s="55"/>
      <c r="J124" s="55"/>
      <c r="K124" s="56"/>
      <c r="L124" s="8" t="s">
        <v>229</v>
      </c>
      <c r="N124" s="33"/>
      <c r="O124" s="33"/>
      <c r="P124" s="33"/>
      <c r="Q124" s="33"/>
    </row>
    <row r="125" ht="13.5" customHeight="1">
      <c r="A125" s="57">
        <v>1.0</v>
      </c>
      <c r="B125" s="83" t="s">
        <v>204</v>
      </c>
      <c r="C125" s="84"/>
      <c r="D125" s="59">
        <f t="shared" ref="D125:D130" si="43">+E125*110%</f>
        <v>1125960</v>
      </c>
      <c r="E125" s="60">
        <v>1023600.0</v>
      </c>
      <c r="F125" s="61">
        <f t="shared" ref="F125:F130" si="44">E125*10%</f>
        <v>102360</v>
      </c>
      <c r="G125" s="62">
        <v>10000.0</v>
      </c>
      <c r="H125" s="63">
        <v>2.0</v>
      </c>
      <c r="I125" s="63"/>
      <c r="J125" s="64">
        <f t="shared" ref="J125:J130" si="45">+G125*(H125+I125)</f>
        <v>20000</v>
      </c>
      <c r="K125" s="65">
        <f t="shared" ref="K125:K130" si="46">+D125+J125</f>
        <v>1145960</v>
      </c>
      <c r="M125" s="8" t="str">
        <f t="shared" ref="M125:M130" si="47">$L$124&amp;" "&amp;B125</f>
        <v>XE Ô TÔ CHUYÊN DÙNG Dưới 3 tấn</v>
      </c>
      <c r="N125" s="33" t="s">
        <v>230</v>
      </c>
      <c r="O125" s="33">
        <v>2.0</v>
      </c>
      <c r="P125" s="33" t="s">
        <v>206</v>
      </c>
      <c r="Q125" s="33">
        <v>2.0</v>
      </c>
      <c r="R125" s="8" t="str">
        <f t="shared" ref="R125:R130" si="48">"new AutomobilesFullTypeObject() { DisplayName = """&amp;M125&amp;""", AutomobileType = AutomobileTypeEnum."&amp;N125&amp;", Attributes_Seat = """&amp;O125&amp;""", Attributes_Category = AutomobileTypeCategoryEnum."&amp;P125&amp;" },"</f>
        <v>new AutomobilesFullTypeObject() { DisplayName = "XE Ô TÔ CHUYÊN DÙNG Dưới 3 tấn", AutomobileType = AutomobileTypeEnum.SPECIALIZED, Attributes_Seat = "2", Attributes_Category = AutomobileTypeCategoryEnum.UNDER_THREE_TONS },</v>
      </c>
    </row>
    <row r="126" ht="13.5" customHeight="1">
      <c r="A126" s="57">
        <v>2.0</v>
      </c>
      <c r="B126" s="83" t="s">
        <v>207</v>
      </c>
      <c r="C126" s="84"/>
      <c r="D126" s="59">
        <f t="shared" si="43"/>
        <v>2191200</v>
      </c>
      <c r="E126" s="60">
        <v>1992000.0</v>
      </c>
      <c r="F126" s="61">
        <f t="shared" si="44"/>
        <v>199200</v>
      </c>
      <c r="G126" s="62">
        <v>10000.0</v>
      </c>
      <c r="H126" s="63">
        <v>3.0</v>
      </c>
      <c r="I126" s="63"/>
      <c r="J126" s="64">
        <f t="shared" si="45"/>
        <v>30000</v>
      </c>
      <c r="K126" s="65">
        <f t="shared" si="46"/>
        <v>2221200</v>
      </c>
      <c r="M126" s="8" t="str">
        <f t="shared" si="47"/>
        <v>XE Ô TÔ CHUYÊN DÙNG Từ 3 đến 8 tấn</v>
      </c>
      <c r="N126" s="33" t="s">
        <v>230</v>
      </c>
      <c r="O126" s="33">
        <v>3.0</v>
      </c>
      <c r="P126" s="33" t="s">
        <v>208</v>
      </c>
      <c r="Q126" s="33">
        <v>3.0</v>
      </c>
      <c r="R126" s="8" t="str">
        <f t="shared" si="48"/>
        <v>new AutomobilesFullTypeObject() { DisplayName = "XE Ô TÔ CHUYÊN DÙNG Từ 3 đến 8 tấn", AutomobileType = AutomobileTypeEnum.SPECIALIZED, Attributes_Seat = "3", Attributes_Category = AutomobileTypeCategoryEnum.THREE_TO_EIGHT_TONS },</v>
      </c>
    </row>
    <row r="127" ht="13.5" customHeight="1">
      <c r="A127" s="57">
        <v>3.0</v>
      </c>
      <c r="B127" s="83" t="s">
        <v>209</v>
      </c>
      <c r="C127" s="84"/>
      <c r="D127" s="59">
        <f t="shared" si="43"/>
        <v>3624720</v>
      </c>
      <c r="E127" s="60">
        <v>3295200.0</v>
      </c>
      <c r="F127" s="61">
        <f t="shared" si="44"/>
        <v>329520</v>
      </c>
      <c r="G127" s="62">
        <v>10000.0</v>
      </c>
      <c r="H127" s="63">
        <v>3.0</v>
      </c>
      <c r="I127" s="63"/>
      <c r="J127" s="64">
        <f t="shared" si="45"/>
        <v>30000</v>
      </c>
      <c r="K127" s="65">
        <f t="shared" si="46"/>
        <v>3654720</v>
      </c>
      <c r="M127" s="8" t="str">
        <f t="shared" si="47"/>
        <v>XE Ô TÔ CHUYÊN DÙNG Trên 8 đến 15 tấn</v>
      </c>
      <c r="N127" s="33" t="s">
        <v>230</v>
      </c>
      <c r="O127" s="33">
        <v>3.0</v>
      </c>
      <c r="P127" s="33" t="s">
        <v>210</v>
      </c>
      <c r="Q127" s="33">
        <v>3.0</v>
      </c>
      <c r="R127" s="8" t="str">
        <f t="shared" si="48"/>
        <v>new AutomobilesFullTypeObject() { DisplayName = "XE Ô TÔ CHUYÊN DÙNG Trên 8 đến 15 tấn", AutomobileType = AutomobileTypeEnum.SPECIALIZED, Attributes_Seat = "3", Attributes_Category = AutomobileTypeCategoryEnum.EIGHT_TO_FIFTEEN_TONS },</v>
      </c>
    </row>
    <row r="128" ht="13.5" customHeight="1">
      <c r="A128" s="57">
        <v>4.0</v>
      </c>
      <c r="B128" s="83" t="s">
        <v>211</v>
      </c>
      <c r="C128" s="84"/>
      <c r="D128" s="59">
        <f t="shared" si="43"/>
        <v>4224000</v>
      </c>
      <c r="E128" s="60">
        <v>3840000.0</v>
      </c>
      <c r="F128" s="61">
        <f t="shared" si="44"/>
        <v>384000</v>
      </c>
      <c r="G128" s="62">
        <v>10000.0</v>
      </c>
      <c r="H128" s="63">
        <v>3.0</v>
      </c>
      <c r="I128" s="63"/>
      <c r="J128" s="64">
        <f t="shared" si="45"/>
        <v>30000</v>
      </c>
      <c r="K128" s="65">
        <f t="shared" si="46"/>
        <v>4254000</v>
      </c>
      <c r="M128" s="8" t="str">
        <f t="shared" si="47"/>
        <v>XE Ô TÔ CHUYÊN DÙNG Trên 15 tấn</v>
      </c>
      <c r="N128" s="33" t="s">
        <v>230</v>
      </c>
      <c r="O128" s="33">
        <v>3.0</v>
      </c>
      <c r="P128" s="33" t="s">
        <v>212</v>
      </c>
      <c r="Q128" s="33">
        <v>3.0</v>
      </c>
      <c r="R128" s="8" t="str">
        <f t="shared" si="48"/>
        <v>new AutomobilesFullTypeObject() { DisplayName = "XE Ô TÔ CHUYÊN DÙNG Trên 15 tấn", AutomobileType = AutomobileTypeEnum.SPECIALIZED, Attributes_Seat = "3", Attributes_Category = AutomobileTypeCategoryEnum.OVER_FIFTEEN_TONS },</v>
      </c>
    </row>
    <row r="129" ht="13.5" customHeight="1">
      <c r="A129" s="57">
        <v>5.0</v>
      </c>
      <c r="B129" s="83" t="s">
        <v>231</v>
      </c>
      <c r="C129" s="84"/>
      <c r="D129" s="59">
        <f t="shared" si="43"/>
        <v>1231560</v>
      </c>
      <c r="E129" s="60">
        <v>1119600.0</v>
      </c>
      <c r="F129" s="61">
        <f t="shared" si="44"/>
        <v>111960</v>
      </c>
      <c r="G129" s="62">
        <v>10000.0</v>
      </c>
      <c r="H129" s="63">
        <v>1.0</v>
      </c>
      <c r="I129" s="63"/>
      <c r="J129" s="64">
        <f t="shared" si="45"/>
        <v>10000</v>
      </c>
      <c r="K129" s="65">
        <f t="shared" si="46"/>
        <v>1241560</v>
      </c>
      <c r="M129" s="8" t="str">
        <f t="shared" si="47"/>
        <v>XE Ô TÔ CHUYÊN DÙNG Xe cứu thương</v>
      </c>
      <c r="N129" s="33" t="s">
        <v>230</v>
      </c>
      <c r="O129" s="33">
        <v>1.0</v>
      </c>
      <c r="P129" s="33" t="s">
        <v>232</v>
      </c>
      <c r="Q129" s="33">
        <v>1.0</v>
      </c>
      <c r="R129" s="8" t="str">
        <f t="shared" si="48"/>
        <v>new AutomobilesFullTypeObject() { DisplayName = "XE Ô TÔ CHUYÊN DÙNG Xe cứu thương", AutomobileType = AutomobileTypeEnum.SPECIALIZED, Attributes_Seat = "1", Attributes_Category = AutomobileTypeCategoryEnum.AMBULANCE },</v>
      </c>
    </row>
    <row r="130" ht="13.5" customHeight="1">
      <c r="A130" s="57">
        <v>6.0</v>
      </c>
      <c r="B130" s="83" t="s">
        <v>233</v>
      </c>
      <c r="C130" s="84"/>
      <c r="D130" s="59">
        <f t="shared" si="43"/>
        <v>576840</v>
      </c>
      <c r="E130" s="60">
        <v>524400.0</v>
      </c>
      <c r="F130" s="61">
        <f t="shared" si="44"/>
        <v>52440</v>
      </c>
      <c r="G130" s="62">
        <v>10000.0</v>
      </c>
      <c r="H130" s="63">
        <v>1.0</v>
      </c>
      <c r="I130" s="63"/>
      <c r="J130" s="64">
        <f t="shared" si="45"/>
        <v>10000</v>
      </c>
      <c r="K130" s="65">
        <f t="shared" si="46"/>
        <v>586840</v>
      </c>
      <c r="M130" s="8" t="str">
        <f t="shared" si="47"/>
        <v>XE Ô TÔ CHUYÊN DÙNG Xe chở tiền</v>
      </c>
      <c r="N130" s="33" t="s">
        <v>230</v>
      </c>
      <c r="O130" s="33">
        <v>1.0</v>
      </c>
      <c r="P130" s="33" t="s">
        <v>234</v>
      </c>
      <c r="Q130" s="33">
        <v>1.0</v>
      </c>
      <c r="R130" s="8" t="str">
        <f t="shared" si="48"/>
        <v>new AutomobilesFullTypeObject() { DisplayName = "XE Ô TÔ CHUYÊN DÙNG Xe chở tiền", AutomobileType = AutomobileTypeEnum.SPECIALIZED, Attributes_Seat = "1", Attributes_Category = AutomobileTypeCategoryEnum.MONEY_TRUCK },</v>
      </c>
    </row>
    <row r="131" ht="13.5" customHeight="1">
      <c r="A131" s="77"/>
      <c r="B131" s="68"/>
      <c r="C131" s="68"/>
      <c r="D131" s="68"/>
      <c r="E131" s="68"/>
      <c r="F131" s="68"/>
      <c r="G131" s="78"/>
      <c r="H131" s="78"/>
      <c r="I131" s="78"/>
      <c r="J131" s="78"/>
      <c r="K131" s="73"/>
      <c r="N131" s="33"/>
      <c r="O131" s="33"/>
      <c r="P131" s="33"/>
      <c r="Q131" s="33"/>
    </row>
    <row r="132" ht="13.5" customHeight="1">
      <c r="A132" s="74" t="s">
        <v>235</v>
      </c>
      <c r="B132" s="54" t="s">
        <v>109</v>
      </c>
      <c r="C132" s="55"/>
      <c r="D132" s="55"/>
      <c r="E132" s="55"/>
      <c r="F132" s="55"/>
      <c r="G132" s="55"/>
      <c r="H132" s="55"/>
      <c r="I132" s="55"/>
      <c r="J132" s="55"/>
      <c r="K132" s="56"/>
      <c r="L132" s="8" t="s">
        <v>109</v>
      </c>
      <c r="N132" s="33"/>
      <c r="O132" s="33"/>
      <c r="P132" s="33"/>
      <c r="Q132" s="33"/>
    </row>
    <row r="133" ht="13.5" customHeight="1">
      <c r="A133" s="57">
        <v>1.0</v>
      </c>
      <c r="B133" s="80" t="s">
        <v>146</v>
      </c>
      <c r="C133" s="76"/>
      <c r="D133" s="59">
        <f t="shared" ref="D133:D160" si="49">+E133*110%</f>
        <v>576840</v>
      </c>
      <c r="E133" s="60">
        <v>524400.0</v>
      </c>
      <c r="F133" s="61">
        <f t="shared" ref="F133:F160" si="50">E133*10%</f>
        <v>52440</v>
      </c>
      <c r="G133" s="62">
        <v>10000.0</v>
      </c>
      <c r="H133" s="63">
        <v>1.0</v>
      </c>
      <c r="I133" s="63"/>
      <c r="J133" s="64">
        <f t="shared" ref="J133:J160" si="51">+G133*(H133+I133)</f>
        <v>10000</v>
      </c>
      <c r="K133" s="65">
        <f t="shared" ref="K133:K160" si="52">+D133+J133</f>
        <v>586840</v>
      </c>
      <c r="M133" s="8" t="str">
        <f t="shared" ref="M133:M160" si="53">$L$132</f>
        <v>XE TẬP LÁI (CHỞ NGƯỜI)</v>
      </c>
      <c r="N133" s="33" t="s">
        <v>236</v>
      </c>
      <c r="O133" s="33">
        <v>4.0</v>
      </c>
      <c r="P133" s="33" t="s">
        <v>177</v>
      </c>
      <c r="Q133" s="33">
        <v>1.0</v>
      </c>
      <c r="R133" s="8" t="str">
        <f t="shared" ref="R133:R160" si="54">"new AutomobilesFullTypeObject() { DisplayName = """&amp;M133&amp;""", AutomobileType = AutomobileTypeEnum."&amp;N133&amp;", Attributes_Seat = """&amp;O133&amp;""", Attributes_Category = AutomobileTypeCategoryEnum."&amp;P133&amp;" },"</f>
        <v>new AutomobilesFullTypeObject() { DisplayName = "XE TẬP LÁI (CHỞ NGƯỜI)", AutomobileType = AutomobileTypeEnum.TRAINER, Attributes_Seat = "4", Attributes_Category = AutomobileTypeCategoryEnum.COMMERCIAL },</v>
      </c>
    </row>
    <row r="134" ht="13.5" customHeight="1">
      <c r="A134" s="57">
        <f t="shared" ref="A134:A160" si="55">+A133+1</f>
        <v>2</v>
      </c>
      <c r="B134" s="80" t="s">
        <v>148</v>
      </c>
      <c r="C134" s="76"/>
      <c r="D134" s="59">
        <f t="shared" si="49"/>
        <v>576840</v>
      </c>
      <c r="E134" s="60">
        <v>524400.0</v>
      </c>
      <c r="F134" s="61">
        <f t="shared" si="50"/>
        <v>52440</v>
      </c>
      <c r="G134" s="62">
        <v>10000.0</v>
      </c>
      <c r="H134" s="63">
        <v>1.0</v>
      </c>
      <c r="I134" s="63"/>
      <c r="J134" s="64">
        <f t="shared" si="51"/>
        <v>10000</v>
      </c>
      <c r="K134" s="65">
        <f t="shared" si="52"/>
        <v>586840</v>
      </c>
      <c r="M134" s="8" t="str">
        <f t="shared" si="53"/>
        <v>XE TẬP LÁI (CHỞ NGƯỜI)</v>
      </c>
      <c r="N134" s="33" t="s">
        <v>236</v>
      </c>
      <c r="O134" s="33">
        <v>5.0</v>
      </c>
      <c r="P134" s="33" t="s">
        <v>177</v>
      </c>
      <c r="Q134" s="33">
        <v>1.0</v>
      </c>
      <c r="R134" s="8" t="str">
        <f t="shared" si="54"/>
        <v>new AutomobilesFullTypeObject() { DisplayName = "XE TẬP LÁI (CHỞ NGƯỜI)", AutomobileType = AutomobileTypeEnum.TRAINER, Attributes_Seat = "5", Attributes_Category = AutomobileTypeCategoryEnum.COMMERCIAL },</v>
      </c>
    </row>
    <row r="135" ht="13.5" customHeight="1">
      <c r="A135" s="57">
        <f t="shared" si="55"/>
        <v>3</v>
      </c>
      <c r="B135" s="80" t="s">
        <v>149</v>
      </c>
      <c r="C135" s="76"/>
      <c r="D135" s="59">
        <f t="shared" si="49"/>
        <v>1048080</v>
      </c>
      <c r="E135" s="60">
        <v>952800.0</v>
      </c>
      <c r="F135" s="61">
        <f t="shared" si="50"/>
        <v>95280</v>
      </c>
      <c r="G135" s="62">
        <v>10000.0</v>
      </c>
      <c r="H135" s="63">
        <v>1.0</v>
      </c>
      <c r="I135" s="63"/>
      <c r="J135" s="64">
        <f t="shared" si="51"/>
        <v>10000</v>
      </c>
      <c r="K135" s="65">
        <f t="shared" si="52"/>
        <v>1058080</v>
      </c>
      <c r="M135" s="8" t="str">
        <f t="shared" si="53"/>
        <v>XE TẬP LÁI (CHỞ NGƯỜI)</v>
      </c>
      <c r="N135" s="33" t="s">
        <v>236</v>
      </c>
      <c r="O135" s="33">
        <v>6.0</v>
      </c>
      <c r="P135" s="33" t="s">
        <v>177</v>
      </c>
      <c r="Q135" s="33">
        <v>1.0</v>
      </c>
      <c r="R135" s="8" t="str">
        <f t="shared" si="54"/>
        <v>new AutomobilesFullTypeObject() { DisplayName = "XE TẬP LÁI (CHỞ NGƯỜI)", AutomobileType = AutomobileTypeEnum.TRAINER, Attributes_Seat = "6", Attributes_Category = AutomobileTypeCategoryEnum.COMMERCIAL },</v>
      </c>
    </row>
    <row r="136" ht="13.5" customHeight="1">
      <c r="A136" s="57">
        <f t="shared" si="55"/>
        <v>4</v>
      </c>
      <c r="B136" s="80" t="s">
        <v>150</v>
      </c>
      <c r="C136" s="76"/>
      <c r="D136" s="59">
        <f t="shared" si="49"/>
        <v>1048080</v>
      </c>
      <c r="E136" s="60">
        <v>952800.0</v>
      </c>
      <c r="F136" s="61">
        <f t="shared" si="50"/>
        <v>95280</v>
      </c>
      <c r="G136" s="62">
        <v>10000.0</v>
      </c>
      <c r="H136" s="63">
        <v>1.0</v>
      </c>
      <c r="I136" s="63"/>
      <c r="J136" s="64">
        <f t="shared" si="51"/>
        <v>10000</v>
      </c>
      <c r="K136" s="65">
        <f t="shared" si="52"/>
        <v>1058080</v>
      </c>
      <c r="M136" s="8" t="str">
        <f t="shared" si="53"/>
        <v>XE TẬP LÁI (CHỞ NGƯỜI)</v>
      </c>
      <c r="N136" s="33" t="s">
        <v>236</v>
      </c>
      <c r="O136" s="33">
        <v>7.0</v>
      </c>
      <c r="P136" s="33" t="s">
        <v>177</v>
      </c>
      <c r="Q136" s="33">
        <v>1.0</v>
      </c>
      <c r="R136" s="8" t="str">
        <f t="shared" si="54"/>
        <v>new AutomobilesFullTypeObject() { DisplayName = "XE TẬP LÁI (CHỞ NGƯỜI)", AutomobileType = AutomobileTypeEnum.TRAINER, Attributes_Seat = "7", Attributes_Category = AutomobileTypeCategoryEnum.COMMERCIAL },</v>
      </c>
    </row>
    <row r="137" ht="13.5" customHeight="1">
      <c r="A137" s="57">
        <f t="shared" si="55"/>
        <v>5</v>
      </c>
      <c r="B137" s="80" t="s">
        <v>151</v>
      </c>
      <c r="C137" s="76"/>
      <c r="D137" s="59">
        <f t="shared" si="49"/>
        <v>1048080</v>
      </c>
      <c r="E137" s="60">
        <v>952800.0</v>
      </c>
      <c r="F137" s="61">
        <f t="shared" si="50"/>
        <v>95280</v>
      </c>
      <c r="G137" s="62">
        <v>10000.0</v>
      </c>
      <c r="H137" s="63">
        <v>1.0</v>
      </c>
      <c r="I137" s="63"/>
      <c r="J137" s="64">
        <f t="shared" si="51"/>
        <v>10000</v>
      </c>
      <c r="K137" s="65">
        <f t="shared" si="52"/>
        <v>1058080</v>
      </c>
      <c r="M137" s="8" t="str">
        <f t="shared" si="53"/>
        <v>XE TẬP LÁI (CHỞ NGƯỜI)</v>
      </c>
      <c r="N137" s="33" t="s">
        <v>236</v>
      </c>
      <c r="O137" s="33">
        <v>8.0</v>
      </c>
      <c r="P137" s="33" t="s">
        <v>177</v>
      </c>
      <c r="Q137" s="33">
        <v>1.0</v>
      </c>
      <c r="R137" s="8" t="str">
        <f t="shared" si="54"/>
        <v>new AutomobilesFullTypeObject() { DisplayName = "XE TẬP LÁI (CHỞ NGƯỜI)", AutomobileType = AutomobileTypeEnum.TRAINER, Attributes_Seat = "8", Attributes_Category = AutomobileTypeCategoryEnum.COMMERCIAL },</v>
      </c>
    </row>
    <row r="138" ht="13.5" customHeight="1">
      <c r="A138" s="57">
        <f t="shared" si="55"/>
        <v>6</v>
      </c>
      <c r="B138" s="80" t="s">
        <v>152</v>
      </c>
      <c r="C138" s="76"/>
      <c r="D138" s="59">
        <f t="shared" si="49"/>
        <v>1048080</v>
      </c>
      <c r="E138" s="60">
        <v>952800.0</v>
      </c>
      <c r="F138" s="61">
        <f t="shared" si="50"/>
        <v>95280</v>
      </c>
      <c r="G138" s="62">
        <v>10000.0</v>
      </c>
      <c r="H138" s="63">
        <v>1.0</v>
      </c>
      <c r="I138" s="63"/>
      <c r="J138" s="64">
        <f t="shared" si="51"/>
        <v>10000</v>
      </c>
      <c r="K138" s="65">
        <f t="shared" si="52"/>
        <v>1058080</v>
      </c>
      <c r="M138" s="8" t="str">
        <f t="shared" si="53"/>
        <v>XE TẬP LÁI (CHỞ NGƯỜI)</v>
      </c>
      <c r="N138" s="33" t="s">
        <v>236</v>
      </c>
      <c r="O138" s="33">
        <v>9.0</v>
      </c>
      <c r="P138" s="33" t="s">
        <v>177</v>
      </c>
      <c r="Q138" s="33">
        <v>1.0</v>
      </c>
      <c r="R138" s="8" t="str">
        <f t="shared" si="54"/>
        <v>new AutomobilesFullTypeObject() { DisplayName = "XE TẬP LÁI (CHỞ NGƯỜI)", AutomobileType = AutomobileTypeEnum.TRAINER, Attributes_Seat = "9", Attributes_Category = AutomobileTypeCategoryEnum.COMMERCIAL },</v>
      </c>
    </row>
    <row r="139" ht="13.5" customHeight="1">
      <c r="A139" s="57">
        <f t="shared" si="55"/>
        <v>7</v>
      </c>
      <c r="B139" s="80" t="s">
        <v>153</v>
      </c>
      <c r="C139" s="76"/>
      <c r="D139" s="59">
        <f t="shared" si="49"/>
        <v>1048080</v>
      </c>
      <c r="E139" s="60">
        <v>952800.0</v>
      </c>
      <c r="F139" s="61">
        <f t="shared" si="50"/>
        <v>95280</v>
      </c>
      <c r="G139" s="62">
        <v>10000.0</v>
      </c>
      <c r="H139" s="63">
        <v>1.0</v>
      </c>
      <c r="I139" s="63"/>
      <c r="J139" s="64">
        <f t="shared" si="51"/>
        <v>10000</v>
      </c>
      <c r="K139" s="65">
        <f t="shared" si="52"/>
        <v>1058080</v>
      </c>
      <c r="M139" s="8" t="str">
        <f t="shared" si="53"/>
        <v>XE TẬP LÁI (CHỞ NGƯỜI)</v>
      </c>
      <c r="N139" s="33" t="s">
        <v>236</v>
      </c>
      <c r="O139" s="33">
        <v>10.0</v>
      </c>
      <c r="P139" s="33" t="s">
        <v>177</v>
      </c>
      <c r="Q139" s="33">
        <v>1.0</v>
      </c>
      <c r="R139" s="8" t="str">
        <f t="shared" si="54"/>
        <v>new AutomobilesFullTypeObject() { DisplayName = "XE TẬP LÁI (CHỞ NGƯỜI)", AutomobileType = AutomobileTypeEnum.TRAINER, Attributes_Seat = "10", Attributes_Category = AutomobileTypeCategoryEnum.COMMERCIAL },</v>
      </c>
    </row>
    <row r="140" ht="13.5" customHeight="1">
      <c r="A140" s="57">
        <f t="shared" si="55"/>
        <v>8</v>
      </c>
      <c r="B140" s="80" t="s">
        <v>154</v>
      </c>
      <c r="C140" s="76"/>
      <c r="D140" s="59">
        <f t="shared" si="49"/>
        <v>1048080</v>
      </c>
      <c r="E140" s="60">
        <v>952800.0</v>
      </c>
      <c r="F140" s="61">
        <f t="shared" si="50"/>
        <v>95280</v>
      </c>
      <c r="G140" s="62">
        <v>10000.0</v>
      </c>
      <c r="H140" s="63">
        <v>1.0</v>
      </c>
      <c r="I140" s="63"/>
      <c r="J140" s="64">
        <f t="shared" si="51"/>
        <v>10000</v>
      </c>
      <c r="K140" s="65">
        <f t="shared" si="52"/>
        <v>1058080</v>
      </c>
      <c r="M140" s="8" t="str">
        <f t="shared" si="53"/>
        <v>XE TẬP LÁI (CHỞ NGƯỜI)</v>
      </c>
      <c r="N140" s="33" t="s">
        <v>236</v>
      </c>
      <c r="O140" s="33">
        <v>11.0</v>
      </c>
      <c r="P140" s="33" t="s">
        <v>177</v>
      </c>
      <c r="Q140" s="33">
        <v>1.0</v>
      </c>
      <c r="R140" s="8" t="str">
        <f t="shared" si="54"/>
        <v>new AutomobilesFullTypeObject() { DisplayName = "XE TẬP LÁI (CHỞ NGƯỜI)", AutomobileType = AutomobileTypeEnum.TRAINER, Attributes_Seat = "11", Attributes_Category = AutomobileTypeCategoryEnum.COMMERCIAL },</v>
      </c>
    </row>
    <row r="141" ht="13.5" customHeight="1">
      <c r="A141" s="57">
        <f t="shared" si="55"/>
        <v>9</v>
      </c>
      <c r="B141" s="80" t="s">
        <v>155</v>
      </c>
      <c r="C141" s="76"/>
      <c r="D141" s="59">
        <f t="shared" si="49"/>
        <v>1676400</v>
      </c>
      <c r="E141" s="60">
        <v>1524000.0</v>
      </c>
      <c r="F141" s="61">
        <f t="shared" si="50"/>
        <v>152400</v>
      </c>
      <c r="G141" s="62">
        <v>10000.0</v>
      </c>
      <c r="H141" s="63">
        <v>1.0</v>
      </c>
      <c r="I141" s="63"/>
      <c r="J141" s="64">
        <f t="shared" si="51"/>
        <v>10000</v>
      </c>
      <c r="K141" s="65">
        <f t="shared" si="52"/>
        <v>1686400</v>
      </c>
      <c r="M141" s="8" t="str">
        <f t="shared" si="53"/>
        <v>XE TẬP LÁI (CHỞ NGƯỜI)</v>
      </c>
      <c r="N141" s="33" t="s">
        <v>236</v>
      </c>
      <c r="O141" s="33">
        <v>12.0</v>
      </c>
      <c r="P141" s="33" t="s">
        <v>177</v>
      </c>
      <c r="Q141" s="33">
        <v>1.0</v>
      </c>
      <c r="R141" s="8" t="str">
        <f t="shared" si="54"/>
        <v>new AutomobilesFullTypeObject() { DisplayName = "XE TẬP LÁI (CHỞ NGƯỜI)", AutomobileType = AutomobileTypeEnum.TRAINER, Attributes_Seat = "12", Attributes_Category = AutomobileTypeCategoryEnum.COMMERCIAL },</v>
      </c>
    </row>
    <row r="142" ht="13.5" customHeight="1">
      <c r="A142" s="57">
        <f t="shared" si="55"/>
        <v>10</v>
      </c>
      <c r="B142" s="80" t="s">
        <v>156</v>
      </c>
      <c r="C142" s="76"/>
      <c r="D142" s="59">
        <f t="shared" si="49"/>
        <v>1676400</v>
      </c>
      <c r="E142" s="60">
        <v>1524000.0</v>
      </c>
      <c r="F142" s="61">
        <f t="shared" si="50"/>
        <v>152400</v>
      </c>
      <c r="G142" s="62">
        <v>10000.0</v>
      </c>
      <c r="H142" s="63">
        <v>1.0</v>
      </c>
      <c r="I142" s="63"/>
      <c r="J142" s="64">
        <f t="shared" si="51"/>
        <v>10000</v>
      </c>
      <c r="K142" s="65">
        <f t="shared" si="52"/>
        <v>1686400</v>
      </c>
      <c r="M142" s="8" t="str">
        <f t="shared" si="53"/>
        <v>XE TẬP LÁI (CHỞ NGƯỜI)</v>
      </c>
      <c r="N142" s="33" t="s">
        <v>236</v>
      </c>
      <c r="O142" s="33">
        <v>15.0</v>
      </c>
      <c r="P142" s="33" t="s">
        <v>177</v>
      </c>
      <c r="Q142" s="33">
        <v>1.0</v>
      </c>
      <c r="R142" s="8" t="str">
        <f t="shared" si="54"/>
        <v>new AutomobilesFullTypeObject() { DisplayName = "XE TẬP LÁI (CHỞ NGƯỜI)", AutomobileType = AutomobileTypeEnum.TRAINER, Attributes_Seat = "15", Attributes_Category = AutomobileTypeCategoryEnum.COMMERCIAL },</v>
      </c>
    </row>
    <row r="143" ht="13.5" customHeight="1">
      <c r="A143" s="57">
        <f t="shared" si="55"/>
        <v>11</v>
      </c>
      <c r="B143" s="80" t="s">
        <v>157</v>
      </c>
      <c r="C143" s="76"/>
      <c r="D143" s="59">
        <f t="shared" si="49"/>
        <v>1676400</v>
      </c>
      <c r="E143" s="60">
        <v>1524000.0</v>
      </c>
      <c r="F143" s="61">
        <f t="shared" si="50"/>
        <v>152400</v>
      </c>
      <c r="G143" s="62">
        <v>10000.0</v>
      </c>
      <c r="H143" s="63">
        <v>1.0</v>
      </c>
      <c r="I143" s="63"/>
      <c r="J143" s="64">
        <f t="shared" si="51"/>
        <v>10000</v>
      </c>
      <c r="K143" s="65">
        <f t="shared" si="52"/>
        <v>1686400</v>
      </c>
      <c r="M143" s="8" t="str">
        <f t="shared" si="53"/>
        <v>XE TẬP LÁI (CHỞ NGƯỜI)</v>
      </c>
      <c r="N143" s="33" t="s">
        <v>236</v>
      </c>
      <c r="O143" s="33">
        <v>16.0</v>
      </c>
      <c r="P143" s="33" t="s">
        <v>177</v>
      </c>
      <c r="Q143" s="33">
        <v>1.0</v>
      </c>
      <c r="R143" s="8" t="str">
        <f t="shared" si="54"/>
        <v>new AutomobilesFullTypeObject() { DisplayName = "XE TẬP LÁI (CHỞ NGƯỜI)", AutomobileType = AutomobileTypeEnum.TRAINER, Attributes_Seat = "16", Attributes_Category = AutomobileTypeCategoryEnum.COMMERCIAL },</v>
      </c>
    </row>
    <row r="144" ht="13.5" customHeight="1">
      <c r="A144" s="57">
        <f t="shared" si="55"/>
        <v>12</v>
      </c>
      <c r="B144" s="80" t="s">
        <v>158</v>
      </c>
      <c r="C144" s="76"/>
      <c r="D144" s="59">
        <f t="shared" si="49"/>
        <v>1676400</v>
      </c>
      <c r="E144" s="60">
        <v>1524000.0</v>
      </c>
      <c r="F144" s="61">
        <f t="shared" si="50"/>
        <v>152400</v>
      </c>
      <c r="G144" s="62">
        <v>10000.0</v>
      </c>
      <c r="H144" s="63">
        <v>1.0</v>
      </c>
      <c r="I144" s="63"/>
      <c r="J144" s="64">
        <f t="shared" si="51"/>
        <v>10000</v>
      </c>
      <c r="K144" s="65">
        <f t="shared" si="52"/>
        <v>1686400</v>
      </c>
      <c r="M144" s="8" t="str">
        <f t="shared" si="53"/>
        <v>XE TẬP LÁI (CHỞ NGƯỜI)</v>
      </c>
      <c r="N144" s="33" t="s">
        <v>236</v>
      </c>
      <c r="O144" s="33">
        <v>20.0</v>
      </c>
      <c r="P144" s="33" t="s">
        <v>177</v>
      </c>
      <c r="Q144" s="33">
        <v>1.0</v>
      </c>
      <c r="R144" s="8" t="str">
        <f t="shared" si="54"/>
        <v>new AutomobilesFullTypeObject() { DisplayName = "XE TẬP LÁI (CHỞ NGƯỜI)", AutomobileType = AutomobileTypeEnum.TRAINER, Attributes_Seat = "20", Attributes_Category = AutomobileTypeCategoryEnum.COMMERCIAL },</v>
      </c>
    </row>
    <row r="145" ht="13.5" customHeight="1">
      <c r="A145" s="57">
        <f t="shared" si="55"/>
        <v>13</v>
      </c>
      <c r="B145" s="80" t="s">
        <v>159</v>
      </c>
      <c r="C145" s="76"/>
      <c r="D145" s="59">
        <f t="shared" si="49"/>
        <v>1676400</v>
      </c>
      <c r="E145" s="60">
        <v>1524000.0</v>
      </c>
      <c r="F145" s="61">
        <f t="shared" si="50"/>
        <v>152400</v>
      </c>
      <c r="G145" s="62">
        <v>10000.0</v>
      </c>
      <c r="H145" s="63">
        <v>1.0</v>
      </c>
      <c r="I145" s="63"/>
      <c r="J145" s="64">
        <f t="shared" si="51"/>
        <v>10000</v>
      </c>
      <c r="K145" s="65">
        <f t="shared" si="52"/>
        <v>1686400</v>
      </c>
      <c r="M145" s="8" t="str">
        <f t="shared" si="53"/>
        <v>XE TẬP LÁI (CHỞ NGƯỜI)</v>
      </c>
      <c r="N145" s="33" t="s">
        <v>236</v>
      </c>
      <c r="O145" s="33">
        <v>24.0</v>
      </c>
      <c r="P145" s="33" t="s">
        <v>177</v>
      </c>
      <c r="Q145" s="33">
        <v>1.0</v>
      </c>
      <c r="R145" s="8" t="str">
        <f t="shared" si="54"/>
        <v>new AutomobilesFullTypeObject() { DisplayName = "XE TẬP LÁI (CHỞ NGƯỜI)", AutomobileType = AutomobileTypeEnum.TRAINER, Attributes_Seat = "24", Attributes_Category = AutomobileTypeCategoryEnum.COMMERCIAL },</v>
      </c>
    </row>
    <row r="146" ht="13.5" customHeight="1">
      <c r="A146" s="57">
        <f t="shared" si="55"/>
        <v>14</v>
      </c>
      <c r="B146" s="80" t="s">
        <v>160</v>
      </c>
      <c r="C146" s="76"/>
      <c r="D146" s="59">
        <f t="shared" si="49"/>
        <v>2409000</v>
      </c>
      <c r="E146" s="60">
        <v>2190000.0</v>
      </c>
      <c r="F146" s="61">
        <f t="shared" si="50"/>
        <v>219000</v>
      </c>
      <c r="G146" s="62">
        <v>10000.0</v>
      </c>
      <c r="H146" s="63">
        <v>1.0</v>
      </c>
      <c r="I146" s="63"/>
      <c r="J146" s="64">
        <f t="shared" si="51"/>
        <v>10000</v>
      </c>
      <c r="K146" s="65">
        <f t="shared" si="52"/>
        <v>2419000</v>
      </c>
      <c r="M146" s="8" t="str">
        <f t="shared" si="53"/>
        <v>XE TẬP LÁI (CHỞ NGƯỜI)</v>
      </c>
      <c r="N146" s="33" t="s">
        <v>236</v>
      </c>
      <c r="O146" s="33">
        <v>25.0</v>
      </c>
      <c r="P146" s="33" t="s">
        <v>177</v>
      </c>
      <c r="Q146" s="33">
        <v>1.0</v>
      </c>
      <c r="R146" s="8" t="str">
        <f t="shared" si="54"/>
        <v>new AutomobilesFullTypeObject() { DisplayName = "XE TẬP LÁI (CHỞ NGƯỜI)", AutomobileType = AutomobileTypeEnum.TRAINER, Attributes_Seat = "25", Attributes_Category = AutomobileTypeCategoryEnum.COMMERCIAL },</v>
      </c>
    </row>
    <row r="147" ht="13.5" customHeight="1">
      <c r="A147" s="57">
        <f t="shared" si="55"/>
        <v>15</v>
      </c>
      <c r="B147" s="80" t="s">
        <v>161</v>
      </c>
      <c r="C147" s="76"/>
      <c r="D147" s="59">
        <f t="shared" si="49"/>
        <v>2409000</v>
      </c>
      <c r="E147" s="60">
        <v>2190000.0</v>
      </c>
      <c r="F147" s="61">
        <f t="shared" si="50"/>
        <v>219000</v>
      </c>
      <c r="G147" s="62">
        <v>10000.0</v>
      </c>
      <c r="H147" s="63">
        <v>1.0</v>
      </c>
      <c r="I147" s="63"/>
      <c r="J147" s="64">
        <f t="shared" si="51"/>
        <v>10000</v>
      </c>
      <c r="K147" s="65">
        <f t="shared" si="52"/>
        <v>2419000</v>
      </c>
      <c r="M147" s="8" t="str">
        <f t="shared" si="53"/>
        <v>XE TẬP LÁI (CHỞ NGƯỜI)</v>
      </c>
      <c r="N147" s="33" t="s">
        <v>236</v>
      </c>
      <c r="O147" s="33">
        <v>28.0</v>
      </c>
      <c r="P147" s="33" t="s">
        <v>177</v>
      </c>
      <c r="Q147" s="33">
        <v>1.0</v>
      </c>
      <c r="R147" s="8" t="str">
        <f t="shared" si="54"/>
        <v>new AutomobilesFullTypeObject() { DisplayName = "XE TẬP LÁI (CHỞ NGƯỜI)", AutomobileType = AutomobileTypeEnum.TRAINER, Attributes_Seat = "28", Attributes_Category = AutomobileTypeCategoryEnum.COMMERCIAL },</v>
      </c>
    </row>
    <row r="148" ht="13.5" customHeight="1">
      <c r="A148" s="57">
        <f t="shared" si="55"/>
        <v>16</v>
      </c>
      <c r="B148" s="80" t="s">
        <v>162</v>
      </c>
      <c r="C148" s="76"/>
      <c r="D148" s="59">
        <f t="shared" si="49"/>
        <v>2409000</v>
      </c>
      <c r="E148" s="60">
        <v>2190000.0</v>
      </c>
      <c r="F148" s="61">
        <f t="shared" si="50"/>
        <v>219000</v>
      </c>
      <c r="G148" s="62">
        <v>10000.0</v>
      </c>
      <c r="H148" s="63">
        <v>1.0</v>
      </c>
      <c r="I148" s="63"/>
      <c r="J148" s="64">
        <f t="shared" si="51"/>
        <v>10000</v>
      </c>
      <c r="K148" s="65">
        <f t="shared" si="52"/>
        <v>2419000</v>
      </c>
      <c r="M148" s="8" t="str">
        <f t="shared" si="53"/>
        <v>XE TẬP LÁI (CHỞ NGƯỜI)</v>
      </c>
      <c r="N148" s="33" t="s">
        <v>236</v>
      </c>
      <c r="O148" s="33">
        <v>29.0</v>
      </c>
      <c r="P148" s="33" t="s">
        <v>177</v>
      </c>
      <c r="Q148" s="33">
        <v>1.0</v>
      </c>
      <c r="R148" s="8" t="str">
        <f t="shared" si="54"/>
        <v>new AutomobilesFullTypeObject() { DisplayName = "XE TẬP LÁI (CHỞ NGƯỜI)", AutomobileType = AutomobileTypeEnum.TRAINER, Attributes_Seat = "29", Attributes_Category = AutomobileTypeCategoryEnum.COMMERCIAL },</v>
      </c>
    </row>
    <row r="149" ht="13.5" customHeight="1">
      <c r="A149" s="57">
        <f t="shared" si="55"/>
        <v>17</v>
      </c>
      <c r="B149" s="80" t="s">
        <v>163</v>
      </c>
      <c r="C149" s="76"/>
      <c r="D149" s="59">
        <f t="shared" si="49"/>
        <v>2409000</v>
      </c>
      <c r="E149" s="60">
        <v>2190000.0</v>
      </c>
      <c r="F149" s="61">
        <f t="shared" si="50"/>
        <v>219000</v>
      </c>
      <c r="G149" s="62">
        <v>10000.0</v>
      </c>
      <c r="H149" s="63">
        <v>1.0</v>
      </c>
      <c r="I149" s="63"/>
      <c r="J149" s="64">
        <f t="shared" si="51"/>
        <v>10000</v>
      </c>
      <c r="K149" s="65">
        <f t="shared" si="52"/>
        <v>2419000</v>
      </c>
      <c r="M149" s="8" t="str">
        <f t="shared" si="53"/>
        <v>XE TẬP LÁI (CHỞ NGƯỜI)</v>
      </c>
      <c r="N149" s="33" t="s">
        <v>236</v>
      </c>
      <c r="O149" s="33">
        <v>30.0</v>
      </c>
      <c r="P149" s="33" t="s">
        <v>177</v>
      </c>
      <c r="Q149" s="33">
        <v>1.0</v>
      </c>
      <c r="R149" s="8" t="str">
        <f t="shared" si="54"/>
        <v>new AutomobilesFullTypeObject() { DisplayName = "XE TẬP LÁI (CHỞ NGƯỜI)", AutomobileType = AutomobileTypeEnum.TRAINER, Attributes_Seat = "30", Attributes_Category = AutomobileTypeCategoryEnum.COMMERCIAL },</v>
      </c>
    </row>
    <row r="150" ht="13.5" customHeight="1">
      <c r="A150" s="57">
        <f t="shared" si="55"/>
        <v>18</v>
      </c>
      <c r="B150" s="80" t="s">
        <v>164</v>
      </c>
      <c r="C150" s="76"/>
      <c r="D150" s="59">
        <f t="shared" si="49"/>
        <v>2409000</v>
      </c>
      <c r="E150" s="60">
        <v>2190000.0</v>
      </c>
      <c r="F150" s="61">
        <f t="shared" si="50"/>
        <v>219000</v>
      </c>
      <c r="G150" s="62">
        <v>10000.0</v>
      </c>
      <c r="H150" s="63">
        <v>1.0</v>
      </c>
      <c r="I150" s="63"/>
      <c r="J150" s="64">
        <f t="shared" si="51"/>
        <v>10000</v>
      </c>
      <c r="K150" s="65">
        <f t="shared" si="52"/>
        <v>2419000</v>
      </c>
      <c r="M150" s="8" t="str">
        <f t="shared" si="53"/>
        <v>XE TẬP LÁI (CHỞ NGƯỜI)</v>
      </c>
      <c r="N150" s="33" t="s">
        <v>236</v>
      </c>
      <c r="O150" s="33">
        <v>32.0</v>
      </c>
      <c r="P150" s="33" t="s">
        <v>177</v>
      </c>
      <c r="Q150" s="33">
        <v>1.0</v>
      </c>
      <c r="R150" s="8" t="str">
        <f t="shared" si="54"/>
        <v>new AutomobilesFullTypeObject() { DisplayName = "XE TẬP LÁI (CHỞ NGƯỜI)", AutomobileType = AutomobileTypeEnum.TRAINER, Attributes_Seat = "32", Attributes_Category = AutomobileTypeCategoryEnum.COMMERCIAL },</v>
      </c>
    </row>
    <row r="151" ht="13.5" customHeight="1">
      <c r="A151" s="57">
        <f t="shared" si="55"/>
        <v>19</v>
      </c>
      <c r="B151" s="80" t="s">
        <v>165</v>
      </c>
      <c r="C151" s="76"/>
      <c r="D151" s="59">
        <f t="shared" si="49"/>
        <v>2409000</v>
      </c>
      <c r="E151" s="60">
        <v>2190000.0</v>
      </c>
      <c r="F151" s="61">
        <f t="shared" si="50"/>
        <v>219000</v>
      </c>
      <c r="G151" s="62">
        <v>10000.0</v>
      </c>
      <c r="H151" s="63">
        <v>1.0</v>
      </c>
      <c r="I151" s="63"/>
      <c r="J151" s="64">
        <f t="shared" si="51"/>
        <v>10000</v>
      </c>
      <c r="K151" s="65">
        <f t="shared" si="52"/>
        <v>2419000</v>
      </c>
      <c r="M151" s="8" t="str">
        <f t="shared" si="53"/>
        <v>XE TẬP LÁI (CHỞ NGƯỜI)</v>
      </c>
      <c r="N151" s="33" t="s">
        <v>236</v>
      </c>
      <c r="O151" s="33">
        <v>35.0</v>
      </c>
      <c r="P151" s="33" t="s">
        <v>177</v>
      </c>
      <c r="Q151" s="33">
        <v>1.0</v>
      </c>
      <c r="R151" s="8" t="str">
        <f t="shared" si="54"/>
        <v>new AutomobilesFullTypeObject() { DisplayName = "XE TẬP LÁI (CHỞ NGƯỜI)", AutomobileType = AutomobileTypeEnum.TRAINER, Attributes_Seat = "35", Attributes_Category = AutomobileTypeCategoryEnum.COMMERCIAL },</v>
      </c>
    </row>
    <row r="152" ht="13.5" customHeight="1">
      <c r="A152" s="57">
        <f t="shared" si="55"/>
        <v>20</v>
      </c>
      <c r="B152" s="80" t="s">
        <v>166</v>
      </c>
      <c r="C152" s="76"/>
      <c r="D152" s="59">
        <f t="shared" si="49"/>
        <v>2409000</v>
      </c>
      <c r="E152" s="60">
        <v>2190000.0</v>
      </c>
      <c r="F152" s="61">
        <f t="shared" si="50"/>
        <v>219000</v>
      </c>
      <c r="G152" s="62">
        <v>10000.0</v>
      </c>
      <c r="H152" s="63">
        <v>1.0</v>
      </c>
      <c r="I152" s="63"/>
      <c r="J152" s="64">
        <f t="shared" si="51"/>
        <v>10000</v>
      </c>
      <c r="K152" s="65">
        <f t="shared" si="52"/>
        <v>2419000</v>
      </c>
      <c r="M152" s="8" t="str">
        <f t="shared" si="53"/>
        <v>XE TẬP LÁI (CHỞ NGƯỜI)</v>
      </c>
      <c r="N152" s="33" t="s">
        <v>236</v>
      </c>
      <c r="O152" s="33">
        <v>40.0</v>
      </c>
      <c r="P152" s="33" t="s">
        <v>177</v>
      </c>
      <c r="Q152" s="33">
        <v>1.0</v>
      </c>
      <c r="R152" s="8" t="str">
        <f t="shared" si="54"/>
        <v>new AutomobilesFullTypeObject() { DisplayName = "XE TẬP LÁI (CHỞ NGƯỜI)", AutomobileType = AutomobileTypeEnum.TRAINER, Attributes_Seat = "40", Attributes_Category = AutomobileTypeCategoryEnum.COMMERCIAL },</v>
      </c>
    </row>
    <row r="153" ht="13.5" customHeight="1">
      <c r="A153" s="57">
        <f t="shared" si="55"/>
        <v>21</v>
      </c>
      <c r="B153" s="80" t="s">
        <v>167</v>
      </c>
      <c r="C153" s="76"/>
      <c r="D153" s="59">
        <f t="shared" si="49"/>
        <v>2409000</v>
      </c>
      <c r="E153" s="60">
        <v>2190000.0</v>
      </c>
      <c r="F153" s="61">
        <f t="shared" si="50"/>
        <v>219000</v>
      </c>
      <c r="G153" s="62">
        <v>10000.0</v>
      </c>
      <c r="H153" s="63">
        <v>1.0</v>
      </c>
      <c r="I153" s="63"/>
      <c r="J153" s="64">
        <f t="shared" si="51"/>
        <v>10000</v>
      </c>
      <c r="K153" s="65">
        <f t="shared" si="52"/>
        <v>2419000</v>
      </c>
      <c r="M153" s="8" t="str">
        <f t="shared" si="53"/>
        <v>XE TẬP LÁI (CHỞ NGƯỜI)</v>
      </c>
      <c r="N153" s="33" t="s">
        <v>236</v>
      </c>
      <c r="O153" s="33">
        <v>42.0</v>
      </c>
      <c r="P153" s="33" t="s">
        <v>177</v>
      </c>
      <c r="Q153" s="33">
        <v>1.0</v>
      </c>
      <c r="R153" s="8" t="str">
        <f t="shared" si="54"/>
        <v>new AutomobilesFullTypeObject() { DisplayName = "XE TẬP LÁI (CHỞ NGƯỜI)", AutomobileType = AutomobileTypeEnum.TRAINER, Attributes_Seat = "42", Attributes_Category = AutomobileTypeCategoryEnum.COMMERCIAL },</v>
      </c>
    </row>
    <row r="154" ht="13.5" customHeight="1">
      <c r="A154" s="57">
        <f t="shared" si="55"/>
        <v>22</v>
      </c>
      <c r="B154" s="80" t="s">
        <v>168</v>
      </c>
      <c r="C154" s="76"/>
      <c r="D154" s="59">
        <f t="shared" si="49"/>
        <v>2409000</v>
      </c>
      <c r="E154" s="60">
        <v>2190000.0</v>
      </c>
      <c r="F154" s="61">
        <f t="shared" si="50"/>
        <v>219000</v>
      </c>
      <c r="G154" s="62">
        <v>10000.0</v>
      </c>
      <c r="H154" s="63">
        <v>1.0</v>
      </c>
      <c r="I154" s="63"/>
      <c r="J154" s="64">
        <f t="shared" si="51"/>
        <v>10000</v>
      </c>
      <c r="K154" s="65">
        <f t="shared" si="52"/>
        <v>2419000</v>
      </c>
      <c r="M154" s="8" t="str">
        <f t="shared" si="53"/>
        <v>XE TẬP LÁI (CHỞ NGƯỜI)</v>
      </c>
      <c r="N154" s="33" t="s">
        <v>236</v>
      </c>
      <c r="O154" s="33">
        <v>43.0</v>
      </c>
      <c r="P154" s="33" t="s">
        <v>177</v>
      </c>
      <c r="Q154" s="33">
        <v>1.0</v>
      </c>
      <c r="R154" s="8" t="str">
        <f t="shared" si="54"/>
        <v>new AutomobilesFullTypeObject() { DisplayName = "XE TẬP LÁI (CHỞ NGƯỜI)", AutomobileType = AutomobileTypeEnum.TRAINER, Attributes_Seat = "43", Attributes_Category = AutomobileTypeCategoryEnum.COMMERCIAL },</v>
      </c>
    </row>
    <row r="155" ht="13.5" customHeight="1">
      <c r="A155" s="57">
        <f t="shared" si="55"/>
        <v>23</v>
      </c>
      <c r="B155" s="80" t="s">
        <v>169</v>
      </c>
      <c r="C155" s="76"/>
      <c r="D155" s="59">
        <f t="shared" si="49"/>
        <v>2409000</v>
      </c>
      <c r="E155" s="60">
        <v>2190000.0</v>
      </c>
      <c r="F155" s="61">
        <f t="shared" si="50"/>
        <v>219000</v>
      </c>
      <c r="G155" s="62">
        <v>10000.0</v>
      </c>
      <c r="H155" s="63">
        <v>1.0</v>
      </c>
      <c r="I155" s="63"/>
      <c r="J155" s="64">
        <f t="shared" si="51"/>
        <v>10000</v>
      </c>
      <c r="K155" s="65">
        <f t="shared" si="52"/>
        <v>2419000</v>
      </c>
      <c r="M155" s="8" t="str">
        <f t="shared" si="53"/>
        <v>XE TẬP LÁI (CHỞ NGƯỜI)</v>
      </c>
      <c r="N155" s="33" t="s">
        <v>236</v>
      </c>
      <c r="O155" s="33">
        <v>44.0</v>
      </c>
      <c r="P155" s="33" t="s">
        <v>177</v>
      </c>
      <c r="Q155" s="33">
        <v>1.0</v>
      </c>
      <c r="R155" s="8" t="str">
        <f t="shared" si="54"/>
        <v>new AutomobilesFullTypeObject() { DisplayName = "XE TẬP LÁI (CHỞ NGƯỜI)", AutomobileType = AutomobileTypeEnum.TRAINER, Attributes_Seat = "44", Attributes_Category = AutomobileTypeCategoryEnum.COMMERCIAL },</v>
      </c>
    </row>
    <row r="156" ht="13.5" customHeight="1">
      <c r="A156" s="57">
        <f t="shared" si="55"/>
        <v>24</v>
      </c>
      <c r="B156" s="80" t="s">
        <v>170</v>
      </c>
      <c r="C156" s="76"/>
      <c r="D156" s="59">
        <f t="shared" si="49"/>
        <v>2409000</v>
      </c>
      <c r="E156" s="60">
        <v>2190000.0</v>
      </c>
      <c r="F156" s="61">
        <f t="shared" si="50"/>
        <v>219000</v>
      </c>
      <c r="G156" s="62">
        <v>10000.0</v>
      </c>
      <c r="H156" s="63">
        <v>1.0</v>
      </c>
      <c r="I156" s="63"/>
      <c r="J156" s="64">
        <f t="shared" si="51"/>
        <v>10000</v>
      </c>
      <c r="K156" s="65">
        <f t="shared" si="52"/>
        <v>2419000</v>
      </c>
      <c r="M156" s="8" t="str">
        <f t="shared" si="53"/>
        <v>XE TẬP LÁI (CHỞ NGƯỜI)</v>
      </c>
      <c r="N156" s="33" t="s">
        <v>236</v>
      </c>
      <c r="O156" s="33">
        <v>45.0</v>
      </c>
      <c r="P156" s="33" t="s">
        <v>177</v>
      </c>
      <c r="Q156" s="33">
        <v>1.0</v>
      </c>
      <c r="R156" s="8" t="str">
        <f t="shared" si="54"/>
        <v>new AutomobilesFullTypeObject() { DisplayName = "XE TẬP LÁI (CHỞ NGƯỜI)", AutomobileType = AutomobileTypeEnum.TRAINER, Attributes_Seat = "45", Attributes_Category = AutomobileTypeCategoryEnum.COMMERCIAL },</v>
      </c>
    </row>
    <row r="157" ht="13.5" customHeight="1">
      <c r="A157" s="57">
        <f t="shared" si="55"/>
        <v>25</v>
      </c>
      <c r="B157" s="80" t="s">
        <v>171</v>
      </c>
      <c r="C157" s="76"/>
      <c r="D157" s="59">
        <f t="shared" si="49"/>
        <v>2409000</v>
      </c>
      <c r="E157" s="60">
        <v>2190000.0</v>
      </c>
      <c r="F157" s="61">
        <f t="shared" si="50"/>
        <v>219000</v>
      </c>
      <c r="G157" s="62">
        <v>10000.0</v>
      </c>
      <c r="H157" s="63">
        <v>1.0</v>
      </c>
      <c r="I157" s="63"/>
      <c r="J157" s="64">
        <f t="shared" si="51"/>
        <v>10000</v>
      </c>
      <c r="K157" s="65">
        <f t="shared" si="52"/>
        <v>2419000</v>
      </c>
      <c r="M157" s="8" t="str">
        <f t="shared" si="53"/>
        <v>XE TẬP LÁI (CHỞ NGƯỜI)</v>
      </c>
      <c r="N157" s="33" t="s">
        <v>236</v>
      </c>
      <c r="O157" s="33">
        <v>47.0</v>
      </c>
      <c r="P157" s="33" t="s">
        <v>177</v>
      </c>
      <c r="Q157" s="33">
        <v>1.0</v>
      </c>
      <c r="R157" s="8" t="str">
        <f t="shared" si="54"/>
        <v>new AutomobilesFullTypeObject() { DisplayName = "XE TẬP LÁI (CHỞ NGƯỜI)", AutomobileType = AutomobileTypeEnum.TRAINER, Attributes_Seat = "47", Attributes_Category = AutomobileTypeCategoryEnum.COMMERCIAL },</v>
      </c>
    </row>
    <row r="158" ht="13.5" customHeight="1">
      <c r="A158" s="57">
        <f t="shared" si="55"/>
        <v>26</v>
      </c>
      <c r="B158" s="80" t="s">
        <v>172</v>
      </c>
      <c r="C158" s="76"/>
      <c r="D158" s="59">
        <f t="shared" si="49"/>
        <v>2409000</v>
      </c>
      <c r="E158" s="60">
        <v>2190000.0</v>
      </c>
      <c r="F158" s="61">
        <f t="shared" si="50"/>
        <v>219000</v>
      </c>
      <c r="G158" s="62">
        <v>10000.0</v>
      </c>
      <c r="H158" s="63">
        <v>1.0</v>
      </c>
      <c r="I158" s="63"/>
      <c r="J158" s="64">
        <f t="shared" si="51"/>
        <v>10000</v>
      </c>
      <c r="K158" s="65">
        <f t="shared" si="52"/>
        <v>2419000</v>
      </c>
      <c r="M158" s="8" t="str">
        <f t="shared" si="53"/>
        <v>XE TẬP LÁI (CHỞ NGƯỜI)</v>
      </c>
      <c r="N158" s="33" t="s">
        <v>236</v>
      </c>
      <c r="O158" s="33">
        <v>50.0</v>
      </c>
      <c r="P158" s="33" t="s">
        <v>177</v>
      </c>
      <c r="Q158" s="33">
        <v>1.0</v>
      </c>
      <c r="R158" s="8" t="str">
        <f t="shared" si="54"/>
        <v>new AutomobilesFullTypeObject() { DisplayName = "XE TẬP LÁI (CHỞ NGƯỜI)", AutomobileType = AutomobileTypeEnum.TRAINER, Attributes_Seat = "50", Attributes_Category = AutomobileTypeCategoryEnum.COMMERCIAL },</v>
      </c>
    </row>
    <row r="159" ht="13.5" customHeight="1">
      <c r="A159" s="57">
        <f t="shared" si="55"/>
        <v>27</v>
      </c>
      <c r="B159" s="80" t="s">
        <v>173</v>
      </c>
      <c r="C159" s="76"/>
      <c r="D159" s="59">
        <f t="shared" si="49"/>
        <v>2409000</v>
      </c>
      <c r="E159" s="60">
        <v>2190000.0</v>
      </c>
      <c r="F159" s="61">
        <f t="shared" si="50"/>
        <v>219000</v>
      </c>
      <c r="G159" s="62">
        <v>10000.0</v>
      </c>
      <c r="H159" s="63">
        <v>1.0</v>
      </c>
      <c r="I159" s="63"/>
      <c r="J159" s="64">
        <f t="shared" si="51"/>
        <v>10000</v>
      </c>
      <c r="K159" s="65">
        <f t="shared" si="52"/>
        <v>2419000</v>
      </c>
      <c r="M159" s="8" t="str">
        <f t="shared" si="53"/>
        <v>XE TẬP LÁI (CHỞ NGƯỜI)</v>
      </c>
      <c r="N159" s="33" t="s">
        <v>236</v>
      </c>
      <c r="O159" s="33">
        <v>55.0</v>
      </c>
      <c r="P159" s="33" t="s">
        <v>177</v>
      </c>
      <c r="Q159" s="33">
        <v>1.0</v>
      </c>
      <c r="R159" s="8" t="str">
        <f t="shared" si="54"/>
        <v>new AutomobilesFullTypeObject() { DisplayName = "XE TẬP LÁI (CHỞ NGƯỜI)", AutomobileType = AutomobileTypeEnum.TRAINER, Attributes_Seat = "55", Attributes_Category = AutomobileTypeCategoryEnum.COMMERCIAL },</v>
      </c>
    </row>
    <row r="160" ht="13.5" customHeight="1">
      <c r="A160" s="57">
        <f t="shared" si="55"/>
        <v>28</v>
      </c>
      <c r="B160" s="80" t="s">
        <v>174</v>
      </c>
      <c r="C160" s="76"/>
      <c r="D160" s="59">
        <f t="shared" si="49"/>
        <v>2409000</v>
      </c>
      <c r="E160" s="60">
        <v>2190000.0</v>
      </c>
      <c r="F160" s="61">
        <f t="shared" si="50"/>
        <v>219000</v>
      </c>
      <c r="G160" s="62">
        <v>10000.0</v>
      </c>
      <c r="H160" s="63">
        <v>1.0</v>
      </c>
      <c r="I160" s="63"/>
      <c r="J160" s="64">
        <f t="shared" si="51"/>
        <v>10000</v>
      </c>
      <c r="K160" s="65">
        <f t="shared" si="52"/>
        <v>2419000</v>
      </c>
      <c r="M160" s="8" t="str">
        <f t="shared" si="53"/>
        <v>XE TẬP LÁI (CHỞ NGƯỜI)</v>
      </c>
      <c r="N160" s="33" t="s">
        <v>236</v>
      </c>
      <c r="O160" s="33">
        <v>60.0</v>
      </c>
      <c r="P160" s="33" t="s">
        <v>177</v>
      </c>
      <c r="Q160" s="33">
        <v>1.0</v>
      </c>
      <c r="R160" s="8" t="str">
        <f t="shared" si="54"/>
        <v>new AutomobilesFullTypeObject() { DisplayName = "XE TẬP LÁI (CHỞ NGƯỜI)", AutomobileType = AutomobileTypeEnum.TRAINER, Attributes_Seat = "60", Attributes_Category = AutomobileTypeCategoryEnum.COMMERCIAL },</v>
      </c>
    </row>
    <row r="161" ht="13.5" customHeight="1">
      <c r="A161" s="77"/>
      <c r="B161" s="68"/>
      <c r="C161" s="68"/>
      <c r="D161" s="68"/>
      <c r="E161" s="68"/>
      <c r="F161" s="68"/>
      <c r="G161" s="78"/>
      <c r="H161" s="78"/>
      <c r="I161" s="78"/>
      <c r="J161" s="78"/>
      <c r="K161" s="73"/>
      <c r="N161" s="33"/>
      <c r="O161" s="33"/>
      <c r="P161" s="33"/>
      <c r="Q161" s="33"/>
    </row>
    <row r="162" ht="13.5" customHeight="1">
      <c r="A162" s="74" t="s">
        <v>237</v>
      </c>
      <c r="B162" s="54" t="s">
        <v>238</v>
      </c>
      <c r="C162" s="55"/>
      <c r="D162" s="55"/>
      <c r="E162" s="55"/>
      <c r="F162" s="55"/>
      <c r="G162" s="55"/>
      <c r="H162" s="55"/>
      <c r="I162" s="55"/>
      <c r="J162" s="55"/>
      <c r="K162" s="56"/>
      <c r="L162" s="8" t="s">
        <v>238</v>
      </c>
      <c r="N162" s="33"/>
      <c r="O162" s="33"/>
      <c r="P162" s="33"/>
      <c r="Q162" s="33"/>
    </row>
    <row r="163" ht="13.5" customHeight="1">
      <c r="A163" s="57">
        <v>1.0</v>
      </c>
      <c r="B163" s="83" t="s">
        <v>204</v>
      </c>
      <c r="C163" s="84"/>
      <c r="D163" s="59">
        <f t="shared" ref="D163:D166" si="56">+E163*110%</f>
        <v>1125960</v>
      </c>
      <c r="E163" s="60">
        <v>1023600.0</v>
      </c>
      <c r="F163" s="61">
        <f t="shared" ref="F163:F166" si="57">E163*10%</f>
        <v>102360</v>
      </c>
      <c r="G163" s="62">
        <v>10000.0</v>
      </c>
      <c r="H163" s="63">
        <v>1.0</v>
      </c>
      <c r="I163" s="63"/>
      <c r="J163" s="64">
        <f t="shared" ref="J163:J166" si="58">+G163*(H163+I163)</f>
        <v>10000</v>
      </c>
      <c r="K163" s="65">
        <f t="shared" ref="K163:K166" si="59">+D163+J163</f>
        <v>1135960</v>
      </c>
      <c r="M163" s="8" t="str">
        <f t="shared" ref="M163:M166" si="60">$L$162&amp;" "&amp;B163</f>
        <v>XE TẬP LÁI CHỞ HÀNG (XE TẢI) Dưới 3 tấn</v>
      </c>
      <c r="N163" s="33" t="s">
        <v>239</v>
      </c>
      <c r="O163" s="33">
        <v>1.0</v>
      </c>
      <c r="P163" s="33" t="s">
        <v>206</v>
      </c>
      <c r="Q163" s="33">
        <v>1.0</v>
      </c>
      <c r="R163" s="8" t="str">
        <f t="shared" ref="R163:R166" si="61">"new AutomobilesFullTypeObject() { DisplayName = """&amp;M163&amp;""", AutomobileType = AutomobileTypeEnum."&amp;N163&amp;", Attributes_Seat = """&amp;O163&amp;""", Attributes_Category = AutomobileTypeCategoryEnum."&amp;P163&amp;" },"</f>
        <v>new AutomobilesFullTypeObject() { DisplayName = "XE TẬP LÁI CHỞ HÀNG (XE TẢI) Dưới 3 tấn", AutomobileType = AutomobileTypeEnum.TRAINER_TRUCK, Attributes_Seat = "1", Attributes_Category = AutomobileTypeCategoryEnum.UNDER_THREE_TONS },</v>
      </c>
    </row>
    <row r="164" ht="13.5" customHeight="1">
      <c r="A164" s="57">
        <v>2.0</v>
      </c>
      <c r="B164" s="83" t="s">
        <v>207</v>
      </c>
      <c r="C164" s="84"/>
      <c r="D164" s="59">
        <f t="shared" si="56"/>
        <v>2191200</v>
      </c>
      <c r="E164" s="60">
        <v>1992000.0</v>
      </c>
      <c r="F164" s="61">
        <f t="shared" si="57"/>
        <v>199200</v>
      </c>
      <c r="G164" s="62">
        <v>10000.0</v>
      </c>
      <c r="H164" s="63">
        <v>1.0</v>
      </c>
      <c r="I164" s="63"/>
      <c r="J164" s="64">
        <f t="shared" si="58"/>
        <v>10000</v>
      </c>
      <c r="K164" s="65">
        <f t="shared" si="59"/>
        <v>2201200</v>
      </c>
      <c r="M164" s="8" t="str">
        <f t="shared" si="60"/>
        <v>XE TẬP LÁI CHỞ HÀNG (XE TẢI) Từ 3 đến 8 tấn</v>
      </c>
      <c r="N164" s="33" t="s">
        <v>239</v>
      </c>
      <c r="O164" s="33">
        <v>1.0</v>
      </c>
      <c r="P164" s="33" t="s">
        <v>208</v>
      </c>
      <c r="Q164" s="33">
        <v>1.0</v>
      </c>
      <c r="R164" s="8" t="str">
        <f t="shared" si="61"/>
        <v>new AutomobilesFullTypeObject() { DisplayName = "XE TẬP LÁI CHỞ HÀNG (XE TẢI) Từ 3 đến 8 tấn", AutomobileType = AutomobileTypeEnum.TRAINER_TRUCK, Attributes_Seat = "1", Attributes_Category = AutomobileTypeCategoryEnum.THREE_TO_EIGHT_TONS },</v>
      </c>
    </row>
    <row r="165" ht="13.5" customHeight="1">
      <c r="A165" s="57">
        <v>3.0</v>
      </c>
      <c r="B165" s="83" t="s">
        <v>209</v>
      </c>
      <c r="C165" s="84"/>
      <c r="D165" s="59">
        <f t="shared" si="56"/>
        <v>3624720</v>
      </c>
      <c r="E165" s="60">
        <v>3295200.0</v>
      </c>
      <c r="F165" s="61">
        <f t="shared" si="57"/>
        <v>329520</v>
      </c>
      <c r="G165" s="62">
        <v>10000.0</v>
      </c>
      <c r="H165" s="63">
        <v>1.0</v>
      </c>
      <c r="I165" s="63"/>
      <c r="J165" s="64">
        <f t="shared" si="58"/>
        <v>10000</v>
      </c>
      <c r="K165" s="65">
        <f t="shared" si="59"/>
        <v>3634720</v>
      </c>
      <c r="M165" s="8" t="str">
        <f t="shared" si="60"/>
        <v>XE TẬP LÁI CHỞ HÀNG (XE TẢI) Trên 8 đến 15 tấn</v>
      </c>
      <c r="N165" s="33" t="s">
        <v>239</v>
      </c>
      <c r="O165" s="33">
        <v>1.0</v>
      </c>
      <c r="P165" s="33" t="s">
        <v>210</v>
      </c>
      <c r="Q165" s="33">
        <v>1.0</v>
      </c>
      <c r="R165" s="8" t="str">
        <f t="shared" si="61"/>
        <v>new AutomobilesFullTypeObject() { DisplayName = "XE TẬP LÁI CHỞ HÀNG (XE TẢI) Trên 8 đến 15 tấn", AutomobileType = AutomobileTypeEnum.TRAINER_TRUCK, Attributes_Seat = "1", Attributes_Category = AutomobileTypeCategoryEnum.EIGHT_TO_FIFTEEN_TONS },</v>
      </c>
    </row>
    <row r="166" ht="13.5" customHeight="1">
      <c r="A166" s="57">
        <v>4.0</v>
      </c>
      <c r="B166" s="83" t="s">
        <v>211</v>
      </c>
      <c r="C166" s="84"/>
      <c r="D166" s="59">
        <f t="shared" si="56"/>
        <v>4224000</v>
      </c>
      <c r="E166" s="60">
        <v>3840000.0</v>
      </c>
      <c r="F166" s="61">
        <f t="shared" si="57"/>
        <v>384000</v>
      </c>
      <c r="G166" s="62">
        <v>10000.0</v>
      </c>
      <c r="H166" s="63">
        <v>1.0</v>
      </c>
      <c r="I166" s="63"/>
      <c r="J166" s="64">
        <f t="shared" si="58"/>
        <v>10000</v>
      </c>
      <c r="K166" s="65">
        <f t="shared" si="59"/>
        <v>4234000</v>
      </c>
      <c r="M166" s="8" t="str">
        <f t="shared" si="60"/>
        <v>XE TẬP LÁI CHỞ HÀNG (XE TẢI) Trên 15 tấn</v>
      </c>
      <c r="N166" s="33" t="s">
        <v>239</v>
      </c>
      <c r="O166" s="33">
        <v>1.0</v>
      </c>
      <c r="P166" s="33" t="s">
        <v>212</v>
      </c>
      <c r="Q166" s="33">
        <v>1.0</v>
      </c>
      <c r="R166" s="8" t="str">
        <f t="shared" si="61"/>
        <v>new AutomobilesFullTypeObject() { DisplayName = "XE TẬP LÁI CHỞ HÀNG (XE TẢI) Trên 15 tấn", AutomobileType = AutomobileTypeEnum.TRAINER_TRUCK, Attributes_Seat = "1", Attributes_Category = AutomobileTypeCategoryEnum.OVER_FIFTEEN_TONS },</v>
      </c>
    </row>
    <row r="167" ht="13.5" customHeight="1">
      <c r="A167" s="77"/>
      <c r="B167" s="68"/>
      <c r="C167" s="68"/>
      <c r="D167" s="68"/>
      <c r="E167" s="68"/>
      <c r="F167" s="68"/>
      <c r="G167" s="78"/>
      <c r="H167" s="78"/>
      <c r="I167" s="78"/>
      <c r="J167" s="78"/>
      <c r="K167" s="73"/>
      <c r="N167" s="33"/>
      <c r="O167" s="33"/>
      <c r="P167" s="33"/>
      <c r="Q167" s="33"/>
    </row>
    <row r="168" ht="13.5" customHeight="1">
      <c r="A168" s="74" t="s">
        <v>240</v>
      </c>
      <c r="B168" s="54" t="s">
        <v>241</v>
      </c>
      <c r="C168" s="55"/>
      <c r="D168" s="55"/>
      <c r="E168" s="55"/>
      <c r="F168" s="55"/>
      <c r="G168" s="55"/>
      <c r="H168" s="55"/>
      <c r="I168" s="55"/>
      <c r="J168" s="55"/>
      <c r="K168" s="56"/>
      <c r="N168" s="33"/>
      <c r="O168" s="33"/>
      <c r="P168" s="33"/>
      <c r="Q168" s="33"/>
    </row>
    <row r="169" ht="13.5" customHeight="1">
      <c r="A169" s="90">
        <v>1.0</v>
      </c>
      <c r="B169" s="91" t="s">
        <v>225</v>
      </c>
      <c r="C169" s="92"/>
      <c r="D169" s="93">
        <f>+E169*110%</f>
        <v>1125960</v>
      </c>
      <c r="E169" s="94">
        <v>1023600.0</v>
      </c>
      <c r="F169" s="95">
        <f>E169*10%</f>
        <v>102360</v>
      </c>
      <c r="G169" s="96">
        <v>10000.0</v>
      </c>
      <c r="H169" s="97">
        <v>1.0</v>
      </c>
      <c r="I169" s="97"/>
      <c r="J169" s="98">
        <f>+G169*(H169+I169)</f>
        <v>10000</v>
      </c>
      <c r="K169" s="99">
        <f>+D169+J169</f>
        <v>1135960</v>
      </c>
      <c r="N169" s="33"/>
      <c r="O169" s="33"/>
      <c r="P169" s="33"/>
      <c r="Q169" s="33"/>
    </row>
    <row r="170" ht="13.5" customHeight="1">
      <c r="N170" s="33"/>
      <c r="O170" s="33"/>
      <c r="P170" s="33"/>
      <c r="Q170" s="33"/>
    </row>
    <row r="171" ht="13.5" customHeight="1">
      <c r="N171" s="33"/>
      <c r="O171" s="33"/>
      <c r="P171" s="33"/>
      <c r="Q171" s="33"/>
    </row>
    <row r="172" ht="13.5" customHeight="1">
      <c r="N172" s="33"/>
      <c r="O172" s="33"/>
      <c r="P172" s="33"/>
      <c r="Q172" s="33"/>
    </row>
    <row r="173" ht="13.5" customHeight="1">
      <c r="N173" s="33"/>
      <c r="O173" s="33"/>
      <c r="P173" s="33"/>
      <c r="Q173" s="33"/>
    </row>
    <row r="174" ht="13.5" customHeight="1">
      <c r="N174" s="33"/>
      <c r="O174" s="33"/>
      <c r="P174" s="33"/>
      <c r="Q174" s="33"/>
    </row>
    <row r="175" ht="13.5" customHeight="1">
      <c r="N175" s="33"/>
      <c r="O175" s="33"/>
      <c r="P175" s="33"/>
      <c r="Q175" s="33"/>
    </row>
    <row r="176" ht="13.5" customHeight="1">
      <c r="N176" s="33"/>
      <c r="O176" s="33"/>
      <c r="P176" s="33"/>
      <c r="Q176" s="33"/>
    </row>
    <row r="177" ht="13.5" customHeight="1">
      <c r="N177" s="33"/>
      <c r="O177" s="33"/>
      <c r="P177" s="33"/>
      <c r="Q177" s="33"/>
    </row>
    <row r="178" ht="13.5" customHeight="1">
      <c r="N178" s="33"/>
      <c r="O178" s="33"/>
      <c r="P178" s="33"/>
      <c r="Q178" s="33"/>
    </row>
    <row r="179" ht="13.5" customHeight="1">
      <c r="N179" s="33"/>
      <c r="O179" s="33"/>
      <c r="P179" s="33"/>
      <c r="Q179" s="33"/>
    </row>
    <row r="180" ht="13.5" customHeight="1">
      <c r="N180" s="33"/>
      <c r="O180" s="33"/>
      <c r="P180" s="33"/>
      <c r="Q180" s="33"/>
    </row>
    <row r="181" ht="13.5" customHeight="1">
      <c r="N181" s="33"/>
      <c r="O181" s="33"/>
      <c r="P181" s="33"/>
      <c r="Q181" s="33"/>
    </row>
    <row r="182" ht="13.5" customHeight="1">
      <c r="N182" s="33"/>
      <c r="O182" s="33"/>
      <c r="P182" s="33"/>
      <c r="Q182" s="33"/>
    </row>
    <row r="183" ht="13.5" customHeight="1">
      <c r="N183" s="33"/>
      <c r="O183" s="33"/>
      <c r="P183" s="33"/>
      <c r="Q183" s="33"/>
    </row>
    <row r="184" ht="13.5" customHeight="1">
      <c r="N184" s="33"/>
      <c r="O184" s="33"/>
      <c r="P184" s="33"/>
      <c r="Q184" s="33"/>
    </row>
    <row r="185" ht="13.5" customHeight="1">
      <c r="N185" s="33"/>
      <c r="O185" s="33"/>
      <c r="P185" s="33"/>
      <c r="Q185" s="33"/>
    </row>
    <row r="186" ht="13.5" customHeight="1">
      <c r="N186" s="33"/>
      <c r="O186" s="33"/>
      <c r="P186" s="33"/>
      <c r="Q186" s="33"/>
    </row>
    <row r="187" ht="13.5" customHeight="1">
      <c r="N187" s="33"/>
      <c r="O187" s="33"/>
      <c r="P187" s="33"/>
      <c r="Q187" s="33"/>
    </row>
    <row r="188" ht="13.5" customHeight="1">
      <c r="N188" s="33"/>
      <c r="O188" s="33"/>
      <c r="P188" s="33"/>
      <c r="Q188" s="33"/>
    </row>
    <row r="189" ht="13.5" customHeight="1">
      <c r="N189" s="33"/>
      <c r="O189" s="33"/>
      <c r="P189" s="33"/>
      <c r="Q189" s="33"/>
    </row>
    <row r="190" ht="13.5" customHeight="1">
      <c r="N190" s="33"/>
      <c r="O190" s="33"/>
      <c r="P190" s="33"/>
      <c r="Q190" s="33"/>
    </row>
    <row r="191" ht="13.5" customHeight="1">
      <c r="N191" s="33"/>
      <c r="O191" s="33"/>
      <c r="P191" s="33"/>
      <c r="Q191" s="33"/>
    </row>
    <row r="192" ht="13.5" customHeight="1">
      <c r="N192" s="33"/>
      <c r="O192" s="33"/>
      <c r="P192" s="33"/>
      <c r="Q192" s="33"/>
    </row>
    <row r="193" ht="13.5" customHeight="1">
      <c r="N193" s="33"/>
      <c r="O193" s="33"/>
      <c r="P193" s="33"/>
      <c r="Q193" s="33"/>
    </row>
    <row r="194" ht="13.5" customHeight="1">
      <c r="N194" s="33"/>
      <c r="O194" s="33"/>
      <c r="P194" s="33"/>
      <c r="Q194" s="33"/>
    </row>
    <row r="195" ht="13.5" customHeight="1">
      <c r="N195" s="33"/>
      <c r="O195" s="33"/>
      <c r="P195" s="33"/>
      <c r="Q195" s="33"/>
    </row>
    <row r="196" ht="13.5" customHeight="1">
      <c r="N196" s="33"/>
      <c r="O196" s="33"/>
      <c r="P196" s="33"/>
      <c r="Q196" s="33"/>
    </row>
    <row r="197" ht="13.5" customHeight="1">
      <c r="N197" s="33"/>
      <c r="O197" s="33"/>
      <c r="P197" s="33"/>
      <c r="Q197" s="33"/>
    </row>
    <row r="198" ht="13.5" customHeight="1">
      <c r="N198" s="33"/>
      <c r="O198" s="33"/>
      <c r="P198" s="33"/>
      <c r="Q198" s="33"/>
    </row>
    <row r="199" ht="13.5" customHeight="1">
      <c r="N199" s="33"/>
      <c r="O199" s="33"/>
      <c r="P199" s="33"/>
      <c r="Q199" s="33"/>
    </row>
    <row r="200" ht="13.5" customHeight="1">
      <c r="N200" s="33"/>
      <c r="O200" s="33"/>
      <c r="P200" s="33"/>
      <c r="Q200" s="33"/>
    </row>
    <row r="201" ht="13.5" customHeight="1">
      <c r="N201" s="33"/>
      <c r="O201" s="33"/>
      <c r="P201" s="33"/>
      <c r="Q201" s="33"/>
    </row>
    <row r="202" ht="13.5" customHeight="1">
      <c r="N202" s="33"/>
      <c r="O202" s="33"/>
      <c r="P202" s="33"/>
      <c r="Q202" s="33"/>
    </row>
    <row r="203" ht="13.5" customHeight="1">
      <c r="N203" s="33"/>
      <c r="O203" s="33"/>
      <c r="P203" s="33"/>
      <c r="Q203" s="33"/>
    </row>
    <row r="204" ht="13.5" customHeight="1">
      <c r="N204" s="33"/>
      <c r="O204" s="33"/>
      <c r="P204" s="33"/>
      <c r="Q204" s="33"/>
    </row>
    <row r="205" ht="13.5" customHeight="1">
      <c r="N205" s="33"/>
      <c r="O205" s="33"/>
      <c r="P205" s="33"/>
      <c r="Q205" s="33"/>
    </row>
    <row r="206" ht="13.5" customHeight="1">
      <c r="N206" s="33"/>
      <c r="O206" s="33"/>
      <c r="P206" s="33"/>
      <c r="Q206" s="33"/>
    </row>
    <row r="207" ht="13.5" customHeight="1">
      <c r="N207" s="33"/>
      <c r="O207" s="33"/>
      <c r="P207" s="33"/>
      <c r="Q207" s="33"/>
    </row>
    <row r="208" ht="13.5" customHeight="1">
      <c r="N208" s="33"/>
      <c r="O208" s="33"/>
      <c r="P208" s="33"/>
      <c r="Q208" s="33"/>
    </row>
    <row r="209" ht="13.5" customHeight="1">
      <c r="N209" s="33"/>
      <c r="O209" s="33"/>
      <c r="P209" s="33"/>
      <c r="Q209" s="33"/>
    </row>
    <row r="210" ht="13.5" customHeight="1">
      <c r="N210" s="33"/>
      <c r="O210" s="33"/>
      <c r="P210" s="33"/>
      <c r="Q210" s="33"/>
    </row>
    <row r="211" ht="13.5" customHeight="1">
      <c r="N211" s="33"/>
      <c r="O211" s="33"/>
      <c r="P211" s="33"/>
      <c r="Q211" s="33"/>
    </row>
    <row r="212" ht="13.5" customHeight="1">
      <c r="N212" s="33"/>
      <c r="O212" s="33"/>
      <c r="P212" s="33"/>
      <c r="Q212" s="33"/>
    </row>
    <row r="213" ht="13.5" customHeight="1">
      <c r="N213" s="33"/>
      <c r="O213" s="33"/>
      <c r="P213" s="33"/>
      <c r="Q213" s="33"/>
    </row>
    <row r="214" ht="13.5" customHeight="1">
      <c r="N214" s="33"/>
      <c r="O214" s="33"/>
      <c r="P214" s="33"/>
      <c r="Q214" s="33"/>
    </row>
    <row r="215" ht="13.5" customHeight="1">
      <c r="N215" s="33"/>
      <c r="O215" s="33"/>
      <c r="P215" s="33"/>
      <c r="Q215" s="33"/>
    </row>
    <row r="216" ht="13.5" customHeight="1">
      <c r="N216" s="33"/>
      <c r="O216" s="33"/>
      <c r="P216" s="33"/>
      <c r="Q216" s="33"/>
    </row>
    <row r="217" ht="13.5" customHeight="1">
      <c r="N217" s="33"/>
      <c r="O217" s="33"/>
      <c r="P217" s="33"/>
      <c r="Q217" s="33"/>
    </row>
    <row r="218" ht="13.5" customHeight="1">
      <c r="N218" s="33"/>
      <c r="O218" s="33"/>
      <c r="P218" s="33"/>
      <c r="Q218" s="33"/>
    </row>
    <row r="219" ht="13.5" customHeight="1">
      <c r="N219" s="33"/>
      <c r="O219" s="33"/>
      <c r="P219" s="33"/>
      <c r="Q219" s="33"/>
    </row>
    <row r="220" ht="13.5" customHeight="1">
      <c r="N220" s="33"/>
      <c r="O220" s="33"/>
      <c r="P220" s="33"/>
      <c r="Q220" s="33"/>
    </row>
    <row r="221" ht="13.5" customHeight="1">
      <c r="N221" s="33"/>
      <c r="O221" s="33"/>
      <c r="P221" s="33"/>
      <c r="Q221" s="33"/>
    </row>
    <row r="222" ht="13.5" customHeight="1">
      <c r="N222" s="33"/>
      <c r="O222" s="33"/>
      <c r="P222" s="33"/>
      <c r="Q222" s="33"/>
    </row>
    <row r="223" ht="13.5" customHeight="1">
      <c r="N223" s="33"/>
      <c r="O223" s="33"/>
      <c r="P223" s="33"/>
      <c r="Q223" s="33"/>
    </row>
    <row r="224" ht="13.5" customHeight="1">
      <c r="N224" s="33"/>
      <c r="O224" s="33"/>
      <c r="P224" s="33"/>
      <c r="Q224" s="33"/>
    </row>
    <row r="225" ht="13.5" customHeight="1">
      <c r="N225" s="33"/>
      <c r="O225" s="33"/>
      <c r="P225" s="33"/>
      <c r="Q225" s="33"/>
    </row>
    <row r="226" ht="13.5" customHeight="1">
      <c r="N226" s="33"/>
      <c r="O226" s="33"/>
      <c r="P226" s="33"/>
      <c r="Q226" s="33"/>
    </row>
    <row r="227" ht="13.5" customHeight="1">
      <c r="N227" s="33"/>
      <c r="O227" s="33"/>
      <c r="P227" s="33"/>
      <c r="Q227" s="33"/>
    </row>
    <row r="228" ht="13.5" customHeight="1">
      <c r="N228" s="33"/>
      <c r="O228" s="33"/>
      <c r="P228" s="33"/>
      <c r="Q228" s="33"/>
    </row>
    <row r="229" ht="13.5" customHeight="1">
      <c r="N229" s="33"/>
      <c r="O229" s="33"/>
      <c r="P229" s="33"/>
      <c r="Q229" s="33"/>
    </row>
    <row r="230" ht="13.5" customHeight="1">
      <c r="N230" s="33"/>
      <c r="O230" s="33"/>
      <c r="P230" s="33"/>
      <c r="Q230" s="33"/>
    </row>
    <row r="231" ht="13.5" customHeight="1">
      <c r="N231" s="33"/>
      <c r="O231" s="33"/>
      <c r="P231" s="33"/>
      <c r="Q231" s="33"/>
    </row>
    <row r="232" ht="13.5" customHeight="1">
      <c r="N232" s="33"/>
      <c r="O232" s="33"/>
      <c r="P232" s="33"/>
      <c r="Q232" s="33"/>
    </row>
    <row r="233" ht="13.5" customHeight="1">
      <c r="N233" s="33"/>
      <c r="O233" s="33"/>
      <c r="P233" s="33"/>
      <c r="Q233" s="33"/>
    </row>
    <row r="234" ht="13.5" customHeight="1">
      <c r="N234" s="33"/>
      <c r="O234" s="33"/>
      <c r="P234" s="33"/>
      <c r="Q234" s="33"/>
    </row>
    <row r="235" ht="13.5" customHeight="1">
      <c r="N235" s="33"/>
      <c r="O235" s="33"/>
      <c r="P235" s="33"/>
      <c r="Q235" s="33"/>
    </row>
    <row r="236" ht="13.5" customHeight="1">
      <c r="N236" s="33"/>
      <c r="O236" s="33"/>
      <c r="P236" s="33"/>
      <c r="Q236" s="33"/>
    </row>
    <row r="237" ht="13.5" customHeight="1">
      <c r="N237" s="33"/>
      <c r="O237" s="33"/>
      <c r="P237" s="33"/>
      <c r="Q237" s="33"/>
    </row>
    <row r="238" ht="13.5" customHeight="1">
      <c r="N238" s="33"/>
      <c r="O238" s="33"/>
      <c r="P238" s="33"/>
      <c r="Q238" s="33"/>
    </row>
    <row r="239" ht="13.5" customHeight="1">
      <c r="N239" s="33"/>
      <c r="O239" s="33"/>
      <c r="P239" s="33"/>
      <c r="Q239" s="33"/>
    </row>
    <row r="240" ht="13.5" customHeight="1">
      <c r="N240" s="33"/>
      <c r="O240" s="33"/>
      <c r="P240" s="33"/>
      <c r="Q240" s="33"/>
    </row>
    <row r="241" ht="13.5" customHeight="1">
      <c r="N241" s="33"/>
      <c r="O241" s="33"/>
      <c r="P241" s="33"/>
      <c r="Q241" s="33"/>
    </row>
    <row r="242" ht="13.5" customHeight="1">
      <c r="N242" s="33"/>
      <c r="O242" s="33"/>
      <c r="P242" s="33"/>
      <c r="Q242" s="33"/>
    </row>
    <row r="243" ht="13.5" customHeight="1">
      <c r="N243" s="33"/>
      <c r="O243" s="33"/>
      <c r="P243" s="33"/>
      <c r="Q243" s="33"/>
    </row>
    <row r="244" ht="13.5" customHeight="1">
      <c r="N244" s="33"/>
      <c r="O244" s="33"/>
      <c r="P244" s="33"/>
      <c r="Q244" s="33"/>
    </row>
    <row r="245" ht="13.5" customHeight="1">
      <c r="N245" s="33"/>
      <c r="O245" s="33"/>
      <c r="P245" s="33"/>
      <c r="Q245" s="33"/>
    </row>
    <row r="246" ht="13.5" customHeight="1">
      <c r="N246" s="33"/>
      <c r="O246" s="33"/>
      <c r="P246" s="33"/>
      <c r="Q246" s="33"/>
    </row>
    <row r="247" ht="13.5" customHeight="1">
      <c r="N247" s="33"/>
      <c r="O247" s="33"/>
      <c r="P247" s="33"/>
      <c r="Q247" s="33"/>
    </row>
    <row r="248" ht="13.5" customHeight="1">
      <c r="N248" s="33"/>
      <c r="O248" s="33"/>
      <c r="P248" s="33"/>
      <c r="Q248" s="33"/>
    </row>
    <row r="249" ht="13.5" customHeight="1">
      <c r="N249" s="33"/>
      <c r="O249" s="33"/>
      <c r="P249" s="33"/>
      <c r="Q249" s="33"/>
    </row>
    <row r="250" ht="13.5" customHeight="1">
      <c r="N250" s="33"/>
      <c r="O250" s="33"/>
      <c r="P250" s="33"/>
      <c r="Q250" s="33"/>
    </row>
    <row r="251" ht="13.5" customHeight="1">
      <c r="N251" s="33"/>
      <c r="O251" s="33"/>
      <c r="P251" s="33"/>
      <c r="Q251" s="33"/>
    </row>
    <row r="252" ht="13.5" customHeight="1">
      <c r="N252" s="33"/>
      <c r="O252" s="33"/>
      <c r="P252" s="33"/>
      <c r="Q252" s="33"/>
    </row>
    <row r="253" ht="13.5" customHeight="1">
      <c r="N253" s="33"/>
      <c r="O253" s="33"/>
      <c r="P253" s="33"/>
      <c r="Q253" s="33"/>
    </row>
    <row r="254" ht="13.5" customHeight="1">
      <c r="N254" s="33"/>
      <c r="O254" s="33"/>
      <c r="P254" s="33"/>
      <c r="Q254" s="33"/>
    </row>
    <row r="255" ht="13.5" customHeight="1">
      <c r="N255" s="33"/>
      <c r="O255" s="33"/>
      <c r="P255" s="33"/>
      <c r="Q255" s="33"/>
    </row>
    <row r="256" ht="13.5" customHeight="1">
      <c r="N256" s="33"/>
      <c r="O256" s="33"/>
      <c r="P256" s="33"/>
      <c r="Q256" s="33"/>
    </row>
    <row r="257" ht="13.5" customHeight="1">
      <c r="N257" s="33"/>
      <c r="O257" s="33"/>
      <c r="P257" s="33"/>
      <c r="Q257" s="33"/>
    </row>
    <row r="258" ht="13.5" customHeight="1">
      <c r="N258" s="33"/>
      <c r="O258" s="33"/>
      <c r="P258" s="33"/>
      <c r="Q258" s="33"/>
    </row>
    <row r="259" ht="13.5" customHeight="1">
      <c r="N259" s="33"/>
      <c r="O259" s="33"/>
      <c r="P259" s="33"/>
      <c r="Q259" s="33"/>
    </row>
    <row r="260" ht="13.5" customHeight="1">
      <c r="N260" s="33"/>
      <c r="O260" s="33"/>
      <c r="P260" s="33"/>
      <c r="Q260" s="33"/>
    </row>
    <row r="261" ht="13.5" customHeight="1">
      <c r="N261" s="33"/>
      <c r="O261" s="33"/>
      <c r="P261" s="33"/>
      <c r="Q261" s="33"/>
    </row>
    <row r="262" ht="13.5" customHeight="1">
      <c r="N262" s="33"/>
      <c r="O262" s="33"/>
      <c r="P262" s="33"/>
      <c r="Q262" s="33"/>
    </row>
    <row r="263" ht="13.5" customHeight="1">
      <c r="N263" s="33"/>
      <c r="O263" s="33"/>
      <c r="P263" s="33"/>
      <c r="Q263" s="33"/>
    </row>
    <row r="264" ht="13.5" customHeight="1">
      <c r="N264" s="33"/>
      <c r="O264" s="33"/>
      <c r="P264" s="33"/>
      <c r="Q264" s="33"/>
    </row>
    <row r="265" ht="13.5" customHeight="1">
      <c r="N265" s="33"/>
      <c r="O265" s="33"/>
      <c r="P265" s="33"/>
      <c r="Q265" s="33"/>
    </row>
    <row r="266" ht="13.5" customHeight="1">
      <c r="N266" s="33"/>
      <c r="O266" s="33"/>
      <c r="P266" s="33"/>
      <c r="Q266" s="33"/>
    </row>
    <row r="267" ht="13.5" customHeight="1">
      <c r="N267" s="33"/>
      <c r="O267" s="33"/>
      <c r="P267" s="33"/>
      <c r="Q267" s="33"/>
    </row>
    <row r="268" ht="13.5" customHeight="1">
      <c r="N268" s="33"/>
      <c r="O268" s="33"/>
      <c r="P268" s="33"/>
      <c r="Q268" s="33"/>
    </row>
    <row r="269" ht="13.5" customHeight="1">
      <c r="N269" s="33"/>
      <c r="O269" s="33"/>
      <c r="P269" s="33"/>
      <c r="Q269" s="33"/>
    </row>
    <row r="270" ht="13.5" customHeight="1">
      <c r="N270" s="33"/>
      <c r="O270" s="33"/>
      <c r="P270" s="33"/>
      <c r="Q270" s="33"/>
    </row>
    <row r="271" ht="13.5" customHeight="1">
      <c r="N271" s="33"/>
      <c r="O271" s="33"/>
      <c r="P271" s="33"/>
      <c r="Q271" s="33"/>
    </row>
    <row r="272" ht="13.5" customHeight="1">
      <c r="N272" s="33"/>
      <c r="O272" s="33"/>
      <c r="P272" s="33"/>
      <c r="Q272" s="33"/>
    </row>
    <row r="273" ht="13.5" customHeight="1">
      <c r="N273" s="33"/>
      <c r="O273" s="33"/>
      <c r="P273" s="33"/>
      <c r="Q273" s="33"/>
    </row>
    <row r="274" ht="13.5" customHeight="1">
      <c r="N274" s="33"/>
      <c r="O274" s="33"/>
      <c r="P274" s="33"/>
      <c r="Q274" s="33"/>
    </row>
    <row r="275" ht="13.5" customHeight="1">
      <c r="N275" s="33"/>
      <c r="O275" s="33"/>
      <c r="P275" s="33"/>
      <c r="Q275" s="33"/>
    </row>
    <row r="276" ht="13.5" customHeight="1">
      <c r="N276" s="33"/>
      <c r="O276" s="33"/>
      <c r="P276" s="33"/>
      <c r="Q276" s="33"/>
    </row>
    <row r="277" ht="13.5" customHeight="1">
      <c r="N277" s="33"/>
      <c r="O277" s="33"/>
      <c r="P277" s="33"/>
      <c r="Q277" s="33"/>
    </row>
    <row r="278" ht="13.5" customHeight="1">
      <c r="N278" s="33"/>
      <c r="O278" s="33"/>
      <c r="P278" s="33"/>
      <c r="Q278" s="33"/>
    </row>
    <row r="279" ht="13.5" customHeight="1">
      <c r="N279" s="33"/>
      <c r="O279" s="33"/>
      <c r="P279" s="33"/>
      <c r="Q279" s="33"/>
    </row>
    <row r="280" ht="13.5" customHeight="1">
      <c r="N280" s="33"/>
      <c r="O280" s="33"/>
      <c r="P280" s="33"/>
      <c r="Q280" s="33"/>
    </row>
    <row r="281" ht="13.5" customHeight="1">
      <c r="N281" s="33"/>
      <c r="O281" s="33"/>
      <c r="P281" s="33"/>
      <c r="Q281" s="33"/>
    </row>
    <row r="282" ht="13.5" customHeight="1">
      <c r="N282" s="33"/>
      <c r="O282" s="33"/>
      <c r="P282" s="33"/>
      <c r="Q282" s="33"/>
    </row>
    <row r="283" ht="13.5" customHeight="1">
      <c r="N283" s="33"/>
      <c r="O283" s="33"/>
      <c r="P283" s="33"/>
      <c r="Q283" s="33"/>
    </row>
    <row r="284" ht="13.5" customHeight="1">
      <c r="N284" s="33"/>
      <c r="O284" s="33"/>
      <c r="P284" s="33"/>
      <c r="Q284" s="33"/>
    </row>
    <row r="285" ht="13.5" customHeight="1">
      <c r="N285" s="33"/>
      <c r="O285" s="33"/>
      <c r="P285" s="33"/>
      <c r="Q285" s="33"/>
    </row>
    <row r="286" ht="13.5" customHeight="1">
      <c r="N286" s="33"/>
      <c r="O286" s="33"/>
      <c r="P286" s="33"/>
      <c r="Q286" s="33"/>
    </row>
    <row r="287" ht="13.5" customHeight="1">
      <c r="N287" s="33"/>
      <c r="O287" s="33"/>
      <c r="P287" s="33"/>
      <c r="Q287" s="33"/>
    </row>
    <row r="288" ht="13.5" customHeight="1">
      <c r="N288" s="33"/>
      <c r="O288" s="33"/>
      <c r="P288" s="33"/>
      <c r="Q288" s="33"/>
    </row>
    <row r="289" ht="13.5" customHeight="1">
      <c r="N289" s="33"/>
      <c r="O289" s="33"/>
      <c r="P289" s="33"/>
      <c r="Q289" s="33"/>
    </row>
    <row r="290" ht="13.5" customHeight="1">
      <c r="N290" s="33"/>
      <c r="O290" s="33"/>
      <c r="P290" s="33"/>
      <c r="Q290" s="33"/>
    </row>
    <row r="291" ht="13.5" customHeight="1">
      <c r="N291" s="33"/>
      <c r="O291" s="33"/>
      <c r="P291" s="33"/>
      <c r="Q291" s="33"/>
    </row>
    <row r="292" ht="13.5" customHeight="1">
      <c r="N292" s="33"/>
      <c r="O292" s="33"/>
      <c r="P292" s="33"/>
      <c r="Q292" s="33"/>
    </row>
    <row r="293" ht="13.5" customHeight="1">
      <c r="N293" s="33"/>
      <c r="O293" s="33"/>
      <c r="P293" s="33"/>
      <c r="Q293" s="33"/>
    </row>
    <row r="294" ht="13.5" customHeight="1">
      <c r="N294" s="33"/>
      <c r="O294" s="33"/>
      <c r="P294" s="33"/>
      <c r="Q294" s="33"/>
    </row>
    <row r="295" ht="13.5" customHeight="1">
      <c r="N295" s="33"/>
      <c r="O295" s="33"/>
      <c r="P295" s="33"/>
      <c r="Q295" s="33"/>
    </row>
    <row r="296" ht="13.5" customHeight="1">
      <c r="N296" s="33"/>
      <c r="O296" s="33"/>
      <c r="P296" s="33"/>
      <c r="Q296" s="33"/>
    </row>
    <row r="297" ht="13.5" customHeight="1">
      <c r="N297" s="33"/>
      <c r="O297" s="33"/>
      <c r="P297" s="33"/>
      <c r="Q297" s="33"/>
    </row>
    <row r="298" ht="13.5" customHeight="1">
      <c r="N298" s="33"/>
      <c r="O298" s="33"/>
      <c r="P298" s="33"/>
      <c r="Q298" s="33"/>
    </row>
    <row r="299" ht="13.5" customHeight="1">
      <c r="N299" s="33"/>
      <c r="O299" s="33"/>
      <c r="P299" s="33"/>
      <c r="Q299" s="33"/>
    </row>
    <row r="300" ht="13.5" customHeight="1">
      <c r="N300" s="33"/>
      <c r="O300" s="33"/>
      <c r="P300" s="33"/>
      <c r="Q300" s="33"/>
    </row>
    <row r="301" ht="13.5" customHeight="1">
      <c r="N301" s="33"/>
      <c r="O301" s="33"/>
      <c r="P301" s="33"/>
      <c r="Q301" s="33"/>
    </row>
    <row r="302" ht="13.5" customHeight="1">
      <c r="N302" s="33"/>
      <c r="O302" s="33"/>
      <c r="P302" s="33"/>
      <c r="Q302" s="33"/>
    </row>
    <row r="303" ht="13.5" customHeight="1">
      <c r="N303" s="33"/>
      <c r="O303" s="33"/>
      <c r="P303" s="33"/>
      <c r="Q303" s="33"/>
    </row>
    <row r="304" ht="13.5" customHeight="1">
      <c r="N304" s="33"/>
      <c r="O304" s="33"/>
      <c r="P304" s="33"/>
      <c r="Q304" s="33"/>
    </row>
    <row r="305" ht="13.5" customHeight="1">
      <c r="N305" s="33"/>
      <c r="O305" s="33"/>
      <c r="P305" s="33"/>
      <c r="Q305" s="33"/>
    </row>
    <row r="306" ht="13.5" customHeight="1">
      <c r="N306" s="33"/>
      <c r="O306" s="33"/>
      <c r="P306" s="33"/>
      <c r="Q306" s="33"/>
    </row>
    <row r="307" ht="13.5" customHeight="1">
      <c r="N307" s="33"/>
      <c r="O307" s="33"/>
      <c r="P307" s="33"/>
      <c r="Q307" s="33"/>
    </row>
    <row r="308" ht="13.5" customHeight="1">
      <c r="N308" s="33"/>
      <c r="O308" s="33"/>
      <c r="P308" s="33"/>
      <c r="Q308" s="33"/>
    </row>
    <row r="309" ht="13.5" customHeight="1">
      <c r="N309" s="33"/>
      <c r="O309" s="33"/>
      <c r="P309" s="33"/>
      <c r="Q309" s="33"/>
    </row>
    <row r="310" ht="13.5" customHeight="1">
      <c r="N310" s="33"/>
      <c r="O310" s="33"/>
      <c r="P310" s="33"/>
      <c r="Q310" s="33"/>
    </row>
    <row r="311" ht="13.5" customHeight="1">
      <c r="N311" s="33"/>
      <c r="O311" s="33"/>
      <c r="P311" s="33"/>
      <c r="Q311" s="33"/>
    </row>
    <row r="312" ht="13.5" customHeight="1">
      <c r="N312" s="33"/>
      <c r="O312" s="33"/>
      <c r="P312" s="33"/>
      <c r="Q312" s="33"/>
    </row>
    <row r="313" ht="13.5" customHeight="1">
      <c r="N313" s="33"/>
      <c r="O313" s="33"/>
      <c r="P313" s="33"/>
      <c r="Q313" s="33"/>
    </row>
    <row r="314" ht="13.5" customHeight="1">
      <c r="N314" s="33"/>
      <c r="O314" s="33"/>
      <c r="P314" s="33"/>
      <c r="Q314" s="33"/>
    </row>
    <row r="315" ht="13.5" customHeight="1">
      <c r="N315" s="33"/>
      <c r="O315" s="33"/>
      <c r="P315" s="33"/>
      <c r="Q315" s="33"/>
    </row>
    <row r="316" ht="13.5" customHeight="1">
      <c r="N316" s="33"/>
      <c r="O316" s="33"/>
      <c r="P316" s="33"/>
      <c r="Q316" s="33"/>
    </row>
    <row r="317" ht="13.5" customHeight="1">
      <c r="N317" s="33"/>
      <c r="O317" s="33"/>
      <c r="P317" s="33"/>
      <c r="Q317" s="33"/>
    </row>
    <row r="318" ht="13.5" customHeight="1">
      <c r="N318" s="33"/>
      <c r="O318" s="33"/>
      <c r="P318" s="33"/>
      <c r="Q318" s="33"/>
    </row>
    <row r="319" ht="13.5" customHeight="1">
      <c r="N319" s="33"/>
      <c r="O319" s="33"/>
      <c r="P319" s="33"/>
      <c r="Q319" s="33"/>
    </row>
    <row r="320" ht="13.5" customHeight="1">
      <c r="N320" s="33"/>
      <c r="O320" s="33"/>
      <c r="P320" s="33"/>
      <c r="Q320" s="33"/>
    </row>
    <row r="321" ht="13.5" customHeight="1">
      <c r="N321" s="33"/>
      <c r="O321" s="33"/>
      <c r="P321" s="33"/>
      <c r="Q321" s="33"/>
    </row>
    <row r="322" ht="13.5" customHeight="1">
      <c r="N322" s="33"/>
      <c r="O322" s="33"/>
      <c r="P322" s="33"/>
      <c r="Q322" s="33"/>
    </row>
    <row r="323" ht="13.5" customHeight="1">
      <c r="N323" s="33"/>
      <c r="O323" s="33"/>
      <c r="P323" s="33"/>
      <c r="Q323" s="33"/>
    </row>
    <row r="324" ht="13.5" customHeight="1">
      <c r="N324" s="33"/>
      <c r="O324" s="33"/>
      <c r="P324" s="33"/>
      <c r="Q324" s="33"/>
    </row>
    <row r="325" ht="13.5" customHeight="1">
      <c r="N325" s="33"/>
      <c r="O325" s="33"/>
      <c r="P325" s="33"/>
      <c r="Q325" s="33"/>
    </row>
    <row r="326" ht="13.5" customHeight="1">
      <c r="N326" s="33"/>
      <c r="O326" s="33"/>
      <c r="P326" s="33"/>
      <c r="Q326" s="33"/>
    </row>
    <row r="327" ht="13.5" customHeight="1">
      <c r="N327" s="33"/>
      <c r="O327" s="33"/>
      <c r="P327" s="33"/>
      <c r="Q327" s="33"/>
    </row>
    <row r="328" ht="13.5" customHeight="1">
      <c r="N328" s="33"/>
      <c r="O328" s="33"/>
      <c r="P328" s="33"/>
      <c r="Q328" s="33"/>
    </row>
    <row r="329" ht="13.5" customHeight="1">
      <c r="N329" s="33"/>
      <c r="O329" s="33"/>
      <c r="P329" s="33"/>
      <c r="Q329" s="33"/>
    </row>
    <row r="330" ht="13.5" customHeight="1">
      <c r="N330" s="33"/>
      <c r="O330" s="33"/>
      <c r="P330" s="33"/>
      <c r="Q330" s="33"/>
    </row>
    <row r="331" ht="13.5" customHeight="1">
      <c r="N331" s="33"/>
      <c r="O331" s="33"/>
      <c r="P331" s="33"/>
      <c r="Q331" s="33"/>
    </row>
    <row r="332" ht="13.5" customHeight="1">
      <c r="N332" s="33"/>
      <c r="O332" s="33"/>
      <c r="P332" s="33"/>
      <c r="Q332" s="33"/>
    </row>
    <row r="333" ht="13.5" customHeight="1">
      <c r="N333" s="33"/>
      <c r="O333" s="33"/>
      <c r="P333" s="33"/>
      <c r="Q333" s="33"/>
    </row>
    <row r="334" ht="13.5" customHeight="1">
      <c r="N334" s="33"/>
      <c r="O334" s="33"/>
      <c r="P334" s="33"/>
      <c r="Q334" s="33"/>
    </row>
    <row r="335" ht="13.5" customHeight="1">
      <c r="N335" s="33"/>
      <c r="O335" s="33"/>
      <c r="P335" s="33"/>
      <c r="Q335" s="33"/>
    </row>
    <row r="336" ht="13.5" customHeight="1">
      <c r="N336" s="33"/>
      <c r="O336" s="33"/>
      <c r="P336" s="33"/>
      <c r="Q336" s="33"/>
    </row>
    <row r="337" ht="13.5" customHeight="1">
      <c r="N337" s="33"/>
      <c r="O337" s="33"/>
      <c r="P337" s="33"/>
      <c r="Q337" s="33"/>
    </row>
    <row r="338" ht="13.5" customHeight="1">
      <c r="N338" s="33"/>
      <c r="O338" s="33"/>
      <c r="P338" s="33"/>
      <c r="Q338" s="33"/>
    </row>
    <row r="339" ht="13.5" customHeight="1">
      <c r="N339" s="33"/>
      <c r="O339" s="33"/>
      <c r="P339" s="33"/>
      <c r="Q339" s="33"/>
    </row>
    <row r="340" ht="13.5" customHeight="1">
      <c r="N340" s="33"/>
      <c r="O340" s="33"/>
      <c r="P340" s="33"/>
      <c r="Q340" s="33"/>
    </row>
    <row r="341" ht="13.5" customHeight="1">
      <c r="N341" s="33"/>
      <c r="O341" s="33"/>
      <c r="P341" s="33"/>
      <c r="Q341" s="33"/>
    </row>
    <row r="342" ht="13.5" customHeight="1">
      <c r="N342" s="33"/>
      <c r="O342" s="33"/>
      <c r="P342" s="33"/>
      <c r="Q342" s="33"/>
    </row>
    <row r="343" ht="13.5" customHeight="1">
      <c r="N343" s="33"/>
      <c r="O343" s="33"/>
      <c r="P343" s="33"/>
      <c r="Q343" s="33"/>
    </row>
    <row r="344" ht="13.5" customHeight="1">
      <c r="N344" s="33"/>
      <c r="O344" s="33"/>
      <c r="P344" s="33"/>
      <c r="Q344" s="33"/>
    </row>
    <row r="345" ht="13.5" customHeight="1">
      <c r="N345" s="33"/>
      <c r="O345" s="33"/>
      <c r="P345" s="33"/>
      <c r="Q345" s="33"/>
    </row>
    <row r="346" ht="13.5" customHeight="1">
      <c r="N346" s="33"/>
      <c r="O346" s="33"/>
      <c r="P346" s="33"/>
      <c r="Q346" s="33"/>
    </row>
    <row r="347" ht="13.5" customHeight="1">
      <c r="N347" s="33"/>
      <c r="O347" s="33"/>
      <c r="P347" s="33"/>
      <c r="Q347" s="33"/>
    </row>
    <row r="348" ht="13.5" customHeight="1">
      <c r="N348" s="33"/>
      <c r="O348" s="33"/>
      <c r="P348" s="33"/>
      <c r="Q348" s="33"/>
    </row>
    <row r="349" ht="13.5" customHeight="1">
      <c r="N349" s="33"/>
      <c r="O349" s="33"/>
      <c r="P349" s="33"/>
      <c r="Q349" s="33"/>
    </row>
    <row r="350" ht="13.5" customHeight="1">
      <c r="N350" s="33"/>
      <c r="O350" s="33"/>
      <c r="P350" s="33"/>
      <c r="Q350" s="33"/>
    </row>
    <row r="351" ht="13.5" customHeight="1">
      <c r="N351" s="33"/>
      <c r="O351" s="33"/>
      <c r="P351" s="33"/>
      <c r="Q351" s="33"/>
    </row>
    <row r="352" ht="13.5" customHeight="1">
      <c r="N352" s="33"/>
      <c r="O352" s="33"/>
      <c r="P352" s="33"/>
      <c r="Q352" s="33"/>
    </row>
    <row r="353" ht="13.5" customHeight="1">
      <c r="N353" s="33"/>
      <c r="O353" s="33"/>
      <c r="P353" s="33"/>
      <c r="Q353" s="33"/>
    </row>
    <row r="354" ht="13.5" customHeight="1">
      <c r="N354" s="33"/>
      <c r="O354" s="33"/>
      <c r="P354" s="33"/>
      <c r="Q354" s="33"/>
    </row>
    <row r="355" ht="13.5" customHeight="1">
      <c r="N355" s="33"/>
      <c r="O355" s="33"/>
      <c r="P355" s="33"/>
      <c r="Q355" s="33"/>
    </row>
    <row r="356" ht="13.5" customHeight="1">
      <c r="N356" s="33"/>
      <c r="O356" s="33"/>
      <c r="P356" s="33"/>
      <c r="Q356" s="33"/>
    </row>
    <row r="357" ht="13.5" customHeight="1">
      <c r="N357" s="33"/>
      <c r="O357" s="33"/>
      <c r="P357" s="33"/>
      <c r="Q357" s="33"/>
    </row>
    <row r="358" ht="13.5" customHeight="1">
      <c r="N358" s="33"/>
      <c r="O358" s="33"/>
      <c r="P358" s="33"/>
      <c r="Q358" s="33"/>
    </row>
    <row r="359" ht="13.5" customHeight="1">
      <c r="N359" s="33"/>
      <c r="O359" s="33"/>
      <c r="P359" s="33"/>
      <c r="Q359" s="33"/>
    </row>
    <row r="360" ht="13.5" customHeight="1">
      <c r="N360" s="33"/>
      <c r="O360" s="33"/>
      <c r="P360" s="33"/>
      <c r="Q360" s="33"/>
    </row>
    <row r="361" ht="13.5" customHeight="1">
      <c r="N361" s="33"/>
      <c r="O361" s="33"/>
      <c r="P361" s="33"/>
      <c r="Q361" s="33"/>
    </row>
    <row r="362" ht="13.5" customHeight="1">
      <c r="N362" s="33"/>
      <c r="O362" s="33"/>
      <c r="P362" s="33"/>
      <c r="Q362" s="33"/>
    </row>
    <row r="363" ht="13.5" customHeight="1">
      <c r="N363" s="33"/>
      <c r="O363" s="33"/>
      <c r="P363" s="33"/>
      <c r="Q363" s="33"/>
    </row>
    <row r="364" ht="13.5" customHeight="1">
      <c r="N364" s="33"/>
      <c r="O364" s="33"/>
      <c r="P364" s="33"/>
      <c r="Q364" s="33"/>
    </row>
    <row r="365" ht="13.5" customHeight="1">
      <c r="N365" s="33"/>
      <c r="O365" s="33"/>
      <c r="P365" s="33"/>
      <c r="Q365" s="33"/>
    </row>
    <row r="366" ht="13.5" customHeight="1">
      <c r="N366" s="33"/>
      <c r="O366" s="33"/>
      <c r="P366" s="33"/>
      <c r="Q366" s="33"/>
    </row>
    <row r="367" ht="13.5" customHeight="1">
      <c r="N367" s="33"/>
      <c r="O367" s="33"/>
      <c r="P367" s="33"/>
      <c r="Q367" s="33"/>
    </row>
    <row r="368" ht="13.5" customHeight="1">
      <c r="N368" s="33"/>
      <c r="O368" s="33"/>
      <c r="P368" s="33"/>
      <c r="Q368" s="33"/>
    </row>
    <row r="369" ht="13.5" customHeight="1">
      <c r="N369" s="33"/>
      <c r="O369" s="33"/>
      <c r="P369" s="33"/>
      <c r="Q369" s="33"/>
    </row>
    <row r="370" ht="13.5" customHeight="1">
      <c r="N370" s="33"/>
      <c r="O370" s="33"/>
      <c r="P370" s="33"/>
      <c r="Q370" s="33"/>
    </row>
    <row r="371" ht="13.5" customHeight="1">
      <c r="N371" s="33"/>
      <c r="O371" s="33"/>
      <c r="P371" s="33"/>
      <c r="Q371" s="33"/>
    </row>
    <row r="372" ht="13.5" customHeight="1">
      <c r="N372" s="33"/>
      <c r="O372" s="33"/>
      <c r="P372" s="33"/>
      <c r="Q372" s="33"/>
    </row>
    <row r="373" ht="13.5" customHeight="1">
      <c r="N373" s="33"/>
      <c r="O373" s="33"/>
      <c r="P373" s="33"/>
      <c r="Q373" s="33"/>
    </row>
    <row r="374" ht="13.5" customHeight="1">
      <c r="N374" s="33"/>
      <c r="O374" s="33"/>
      <c r="P374" s="33"/>
      <c r="Q374" s="33"/>
    </row>
    <row r="375" ht="13.5" customHeight="1">
      <c r="N375" s="33"/>
      <c r="O375" s="33"/>
      <c r="P375" s="33"/>
      <c r="Q375" s="33"/>
    </row>
    <row r="376" ht="13.5" customHeight="1">
      <c r="N376" s="33"/>
      <c r="O376" s="33"/>
      <c r="P376" s="33"/>
      <c r="Q376" s="33"/>
    </row>
    <row r="377" ht="13.5" customHeight="1">
      <c r="N377" s="33"/>
      <c r="O377" s="33"/>
      <c r="P377" s="33"/>
      <c r="Q377" s="33"/>
    </row>
    <row r="378" ht="13.5" customHeight="1">
      <c r="N378" s="33"/>
      <c r="O378" s="33"/>
      <c r="P378" s="33"/>
      <c r="Q378" s="33"/>
    </row>
    <row r="379" ht="13.5" customHeight="1">
      <c r="N379" s="33"/>
      <c r="O379" s="33"/>
      <c r="P379" s="33"/>
      <c r="Q379" s="33"/>
    </row>
    <row r="380" ht="13.5" customHeight="1">
      <c r="N380" s="33"/>
      <c r="O380" s="33"/>
      <c r="P380" s="33"/>
      <c r="Q380" s="33"/>
    </row>
    <row r="381" ht="13.5" customHeight="1">
      <c r="N381" s="33"/>
      <c r="O381" s="33"/>
      <c r="P381" s="33"/>
      <c r="Q381" s="33"/>
    </row>
    <row r="382" ht="13.5" customHeight="1">
      <c r="N382" s="33"/>
      <c r="O382" s="33"/>
      <c r="P382" s="33"/>
      <c r="Q382" s="33"/>
    </row>
    <row r="383" ht="13.5" customHeight="1">
      <c r="N383" s="33"/>
      <c r="O383" s="33"/>
      <c r="P383" s="33"/>
      <c r="Q383" s="33"/>
    </row>
    <row r="384" ht="13.5" customHeight="1">
      <c r="N384" s="33"/>
      <c r="O384" s="33"/>
      <c r="P384" s="33"/>
      <c r="Q384" s="33"/>
    </row>
    <row r="385" ht="13.5" customHeight="1">
      <c r="N385" s="33"/>
      <c r="O385" s="33"/>
      <c r="P385" s="33"/>
      <c r="Q385" s="33"/>
    </row>
    <row r="386" ht="13.5" customHeight="1">
      <c r="N386" s="33"/>
      <c r="O386" s="33"/>
      <c r="P386" s="33"/>
      <c r="Q386" s="33"/>
    </row>
    <row r="387" ht="13.5" customHeight="1">
      <c r="N387" s="33"/>
      <c r="O387" s="33"/>
      <c r="P387" s="33"/>
      <c r="Q387" s="33"/>
    </row>
    <row r="388" ht="13.5" customHeight="1">
      <c r="N388" s="33"/>
      <c r="O388" s="33"/>
      <c r="P388" s="33"/>
      <c r="Q388" s="33"/>
    </row>
    <row r="389" ht="13.5" customHeight="1">
      <c r="N389" s="33"/>
      <c r="O389" s="33"/>
      <c r="P389" s="33"/>
      <c r="Q389" s="33"/>
    </row>
    <row r="390" ht="13.5" customHeight="1">
      <c r="N390" s="33"/>
      <c r="O390" s="33"/>
      <c r="P390" s="33"/>
      <c r="Q390" s="33"/>
    </row>
    <row r="391" ht="13.5" customHeight="1">
      <c r="N391" s="33"/>
      <c r="O391" s="33"/>
      <c r="P391" s="33"/>
      <c r="Q391" s="33"/>
    </row>
    <row r="392" ht="13.5" customHeight="1">
      <c r="N392" s="33"/>
      <c r="O392" s="33"/>
      <c r="P392" s="33"/>
      <c r="Q392" s="33"/>
    </row>
    <row r="393" ht="13.5" customHeight="1">
      <c r="N393" s="33"/>
      <c r="O393" s="33"/>
      <c r="P393" s="33"/>
      <c r="Q393" s="33"/>
    </row>
    <row r="394" ht="13.5" customHeight="1">
      <c r="N394" s="33"/>
      <c r="O394" s="33"/>
      <c r="P394" s="33"/>
      <c r="Q394" s="33"/>
    </row>
    <row r="395" ht="13.5" customHeight="1">
      <c r="N395" s="33"/>
      <c r="O395" s="33"/>
      <c r="P395" s="33"/>
      <c r="Q395" s="33"/>
    </row>
    <row r="396" ht="13.5" customHeight="1">
      <c r="N396" s="33"/>
      <c r="O396" s="33"/>
      <c r="P396" s="33"/>
      <c r="Q396" s="33"/>
    </row>
    <row r="397" ht="13.5" customHeight="1">
      <c r="N397" s="33"/>
      <c r="O397" s="33"/>
      <c r="P397" s="33"/>
      <c r="Q397" s="33"/>
    </row>
    <row r="398" ht="13.5" customHeight="1">
      <c r="N398" s="33"/>
      <c r="O398" s="33"/>
      <c r="P398" s="33"/>
      <c r="Q398" s="33"/>
    </row>
    <row r="399" ht="13.5" customHeight="1">
      <c r="N399" s="33"/>
      <c r="O399" s="33"/>
      <c r="P399" s="33"/>
      <c r="Q399" s="33"/>
    </row>
    <row r="400" ht="13.5" customHeight="1">
      <c r="N400" s="33"/>
      <c r="O400" s="33"/>
      <c r="P400" s="33"/>
      <c r="Q400" s="33"/>
    </row>
    <row r="401" ht="13.5" customHeight="1">
      <c r="N401" s="33"/>
      <c r="O401" s="33"/>
      <c r="P401" s="33"/>
      <c r="Q401" s="33"/>
    </row>
    <row r="402" ht="13.5" customHeight="1">
      <c r="N402" s="33"/>
      <c r="O402" s="33"/>
      <c r="P402" s="33"/>
      <c r="Q402" s="33"/>
    </row>
    <row r="403" ht="13.5" customHeight="1">
      <c r="N403" s="33"/>
      <c r="O403" s="33"/>
      <c r="P403" s="33"/>
      <c r="Q403" s="33"/>
    </row>
    <row r="404" ht="13.5" customHeight="1">
      <c r="N404" s="33"/>
      <c r="O404" s="33"/>
      <c r="P404" s="33"/>
      <c r="Q404" s="33"/>
    </row>
    <row r="405" ht="13.5" customHeight="1">
      <c r="N405" s="33"/>
      <c r="O405" s="33"/>
      <c r="P405" s="33"/>
      <c r="Q405" s="33"/>
    </row>
    <row r="406" ht="13.5" customHeight="1">
      <c r="N406" s="33"/>
      <c r="O406" s="33"/>
      <c r="P406" s="33"/>
      <c r="Q406" s="33"/>
    </row>
    <row r="407" ht="13.5" customHeight="1">
      <c r="N407" s="33"/>
      <c r="O407" s="33"/>
      <c r="P407" s="33"/>
      <c r="Q407" s="33"/>
    </row>
    <row r="408" ht="13.5" customHeight="1">
      <c r="N408" s="33"/>
      <c r="O408" s="33"/>
      <c r="P408" s="33"/>
      <c r="Q408" s="33"/>
    </row>
    <row r="409" ht="13.5" customHeight="1">
      <c r="N409" s="33"/>
      <c r="O409" s="33"/>
      <c r="P409" s="33"/>
      <c r="Q409" s="33"/>
    </row>
    <row r="410" ht="13.5" customHeight="1">
      <c r="N410" s="33"/>
      <c r="O410" s="33"/>
      <c r="P410" s="33"/>
      <c r="Q410" s="33"/>
    </row>
    <row r="411" ht="13.5" customHeight="1">
      <c r="N411" s="33"/>
      <c r="O411" s="33"/>
      <c r="P411" s="33"/>
      <c r="Q411" s="33"/>
    </row>
    <row r="412" ht="13.5" customHeight="1">
      <c r="N412" s="33"/>
      <c r="O412" s="33"/>
      <c r="P412" s="33"/>
      <c r="Q412" s="33"/>
    </row>
    <row r="413" ht="13.5" customHeight="1">
      <c r="N413" s="33"/>
      <c r="O413" s="33"/>
      <c r="P413" s="33"/>
      <c r="Q413" s="33"/>
    </row>
    <row r="414" ht="13.5" customHeight="1">
      <c r="N414" s="33"/>
      <c r="O414" s="33"/>
      <c r="P414" s="33"/>
      <c r="Q414" s="33"/>
    </row>
    <row r="415" ht="13.5" customHeight="1">
      <c r="N415" s="33"/>
      <c r="O415" s="33"/>
      <c r="P415" s="33"/>
      <c r="Q415" s="33"/>
    </row>
    <row r="416" ht="13.5" customHeight="1">
      <c r="N416" s="33"/>
      <c r="O416" s="33"/>
      <c r="P416" s="33"/>
      <c r="Q416" s="33"/>
    </row>
    <row r="417" ht="13.5" customHeight="1">
      <c r="N417" s="33"/>
      <c r="O417" s="33"/>
      <c r="P417" s="33"/>
      <c r="Q417" s="33"/>
    </row>
    <row r="418" ht="13.5" customHeight="1">
      <c r="N418" s="33"/>
      <c r="O418" s="33"/>
      <c r="P418" s="33"/>
      <c r="Q418" s="33"/>
    </row>
    <row r="419" ht="13.5" customHeight="1">
      <c r="N419" s="33"/>
      <c r="O419" s="33"/>
      <c r="P419" s="33"/>
      <c r="Q419" s="33"/>
    </row>
    <row r="420" ht="13.5" customHeight="1">
      <c r="N420" s="33"/>
      <c r="O420" s="33"/>
      <c r="P420" s="33"/>
      <c r="Q420" s="33"/>
    </row>
    <row r="421" ht="13.5" customHeight="1">
      <c r="N421" s="33"/>
      <c r="O421" s="33"/>
      <c r="P421" s="33"/>
      <c r="Q421" s="33"/>
    </row>
    <row r="422" ht="13.5" customHeight="1">
      <c r="N422" s="33"/>
      <c r="O422" s="33"/>
      <c r="P422" s="33"/>
      <c r="Q422" s="33"/>
    </row>
    <row r="423" ht="13.5" customHeight="1">
      <c r="N423" s="33"/>
      <c r="O423" s="33"/>
      <c r="P423" s="33"/>
      <c r="Q423" s="33"/>
    </row>
    <row r="424" ht="13.5" customHeight="1">
      <c r="N424" s="33"/>
      <c r="O424" s="33"/>
      <c r="P424" s="33"/>
      <c r="Q424" s="33"/>
    </row>
    <row r="425" ht="13.5" customHeight="1">
      <c r="N425" s="33"/>
      <c r="O425" s="33"/>
      <c r="P425" s="33"/>
      <c r="Q425" s="33"/>
    </row>
    <row r="426" ht="13.5" customHeight="1">
      <c r="N426" s="33"/>
      <c r="O426" s="33"/>
      <c r="P426" s="33"/>
      <c r="Q426" s="33"/>
    </row>
    <row r="427" ht="13.5" customHeight="1">
      <c r="N427" s="33"/>
      <c r="O427" s="33"/>
      <c r="P427" s="33"/>
      <c r="Q427" s="33"/>
    </row>
    <row r="428" ht="13.5" customHeight="1">
      <c r="N428" s="33"/>
      <c r="O428" s="33"/>
      <c r="P428" s="33"/>
      <c r="Q428" s="33"/>
    </row>
    <row r="429" ht="13.5" customHeight="1">
      <c r="N429" s="33"/>
      <c r="O429" s="33"/>
      <c r="P429" s="33"/>
      <c r="Q429" s="33"/>
    </row>
    <row r="430" ht="13.5" customHeight="1">
      <c r="N430" s="33"/>
      <c r="O430" s="33"/>
      <c r="P430" s="33"/>
      <c r="Q430" s="33"/>
    </row>
    <row r="431" ht="13.5" customHeight="1">
      <c r="N431" s="33"/>
      <c r="O431" s="33"/>
      <c r="P431" s="33"/>
      <c r="Q431" s="33"/>
    </row>
    <row r="432" ht="13.5" customHeight="1">
      <c r="N432" s="33"/>
      <c r="O432" s="33"/>
      <c r="P432" s="33"/>
      <c r="Q432" s="33"/>
    </row>
    <row r="433" ht="13.5" customHeight="1">
      <c r="N433" s="33"/>
      <c r="O433" s="33"/>
      <c r="P433" s="33"/>
      <c r="Q433" s="33"/>
    </row>
    <row r="434" ht="13.5" customHeight="1">
      <c r="N434" s="33"/>
      <c r="O434" s="33"/>
      <c r="P434" s="33"/>
      <c r="Q434" s="33"/>
    </row>
    <row r="435" ht="13.5" customHeight="1">
      <c r="N435" s="33"/>
      <c r="O435" s="33"/>
      <c r="P435" s="33"/>
      <c r="Q435" s="33"/>
    </row>
    <row r="436" ht="13.5" customHeight="1">
      <c r="N436" s="33"/>
      <c r="O436" s="33"/>
      <c r="P436" s="33"/>
      <c r="Q436" s="33"/>
    </row>
    <row r="437" ht="13.5" customHeight="1">
      <c r="N437" s="33"/>
      <c r="O437" s="33"/>
      <c r="P437" s="33"/>
      <c r="Q437" s="33"/>
    </row>
    <row r="438" ht="13.5" customHeight="1">
      <c r="N438" s="33"/>
      <c r="O438" s="33"/>
      <c r="P438" s="33"/>
      <c r="Q438" s="33"/>
    </row>
    <row r="439" ht="13.5" customHeight="1">
      <c r="N439" s="33"/>
      <c r="O439" s="33"/>
      <c r="P439" s="33"/>
      <c r="Q439" s="33"/>
    </row>
    <row r="440" ht="13.5" customHeight="1">
      <c r="N440" s="33"/>
      <c r="O440" s="33"/>
      <c r="P440" s="33"/>
      <c r="Q440" s="33"/>
    </row>
    <row r="441" ht="13.5" customHeight="1">
      <c r="N441" s="33"/>
      <c r="O441" s="33"/>
      <c r="P441" s="33"/>
      <c r="Q441" s="33"/>
    </row>
    <row r="442" ht="13.5" customHeight="1">
      <c r="N442" s="33"/>
      <c r="O442" s="33"/>
      <c r="P442" s="33"/>
      <c r="Q442" s="33"/>
    </row>
    <row r="443" ht="13.5" customHeight="1">
      <c r="N443" s="33"/>
      <c r="O443" s="33"/>
      <c r="P443" s="33"/>
      <c r="Q443" s="33"/>
    </row>
    <row r="444" ht="13.5" customHeight="1">
      <c r="N444" s="33"/>
      <c r="O444" s="33"/>
      <c r="P444" s="33"/>
      <c r="Q444" s="33"/>
    </row>
    <row r="445" ht="13.5" customHeight="1">
      <c r="N445" s="33"/>
      <c r="O445" s="33"/>
      <c r="P445" s="33"/>
      <c r="Q445" s="33"/>
    </row>
    <row r="446" ht="13.5" customHeight="1">
      <c r="N446" s="33"/>
      <c r="O446" s="33"/>
      <c r="P446" s="33"/>
      <c r="Q446" s="33"/>
    </row>
    <row r="447" ht="13.5" customHeight="1">
      <c r="N447" s="33"/>
      <c r="O447" s="33"/>
      <c r="P447" s="33"/>
      <c r="Q447" s="33"/>
    </row>
    <row r="448" ht="13.5" customHeight="1">
      <c r="N448" s="33"/>
      <c r="O448" s="33"/>
      <c r="P448" s="33"/>
      <c r="Q448" s="33"/>
    </row>
    <row r="449" ht="13.5" customHeight="1">
      <c r="N449" s="33"/>
      <c r="O449" s="33"/>
      <c r="P449" s="33"/>
      <c r="Q449" s="33"/>
    </row>
    <row r="450" ht="13.5" customHeight="1">
      <c r="N450" s="33"/>
      <c r="O450" s="33"/>
      <c r="P450" s="33"/>
      <c r="Q450" s="33"/>
    </row>
    <row r="451" ht="13.5" customHeight="1">
      <c r="N451" s="33"/>
      <c r="O451" s="33"/>
      <c r="P451" s="33"/>
      <c r="Q451" s="33"/>
    </row>
    <row r="452" ht="13.5" customHeight="1">
      <c r="N452" s="33"/>
      <c r="O452" s="33"/>
      <c r="P452" s="33"/>
      <c r="Q452" s="33"/>
    </row>
    <row r="453" ht="13.5" customHeight="1">
      <c r="N453" s="33"/>
      <c r="O453" s="33"/>
      <c r="P453" s="33"/>
      <c r="Q453" s="33"/>
    </row>
    <row r="454" ht="13.5" customHeight="1">
      <c r="N454" s="33"/>
      <c r="O454" s="33"/>
      <c r="P454" s="33"/>
      <c r="Q454" s="33"/>
    </row>
    <row r="455" ht="13.5" customHeight="1">
      <c r="N455" s="33"/>
      <c r="O455" s="33"/>
      <c r="P455" s="33"/>
      <c r="Q455" s="33"/>
    </row>
    <row r="456" ht="13.5" customHeight="1">
      <c r="N456" s="33"/>
      <c r="O456" s="33"/>
      <c r="P456" s="33"/>
      <c r="Q456" s="33"/>
    </row>
    <row r="457" ht="13.5" customHeight="1">
      <c r="N457" s="33"/>
      <c r="O457" s="33"/>
      <c r="P457" s="33"/>
      <c r="Q457" s="33"/>
    </row>
    <row r="458" ht="13.5" customHeight="1">
      <c r="N458" s="33"/>
      <c r="O458" s="33"/>
      <c r="P458" s="33"/>
      <c r="Q458" s="33"/>
    </row>
    <row r="459" ht="13.5" customHeight="1">
      <c r="N459" s="33"/>
      <c r="O459" s="33"/>
      <c r="P459" s="33"/>
      <c r="Q459" s="33"/>
    </row>
    <row r="460" ht="13.5" customHeight="1">
      <c r="N460" s="33"/>
      <c r="O460" s="33"/>
      <c r="P460" s="33"/>
      <c r="Q460" s="33"/>
    </row>
    <row r="461" ht="13.5" customHeight="1">
      <c r="N461" s="33"/>
      <c r="O461" s="33"/>
      <c r="P461" s="33"/>
      <c r="Q461" s="33"/>
    </row>
    <row r="462" ht="13.5" customHeight="1">
      <c r="N462" s="33"/>
      <c r="O462" s="33"/>
      <c r="P462" s="33"/>
      <c r="Q462" s="33"/>
    </row>
    <row r="463" ht="13.5" customHeight="1">
      <c r="N463" s="33"/>
      <c r="O463" s="33"/>
      <c r="P463" s="33"/>
      <c r="Q463" s="33"/>
    </row>
    <row r="464" ht="13.5" customHeight="1">
      <c r="N464" s="33"/>
      <c r="O464" s="33"/>
      <c r="P464" s="33"/>
      <c r="Q464" s="33"/>
    </row>
    <row r="465" ht="13.5" customHeight="1">
      <c r="N465" s="33"/>
      <c r="O465" s="33"/>
      <c r="P465" s="33"/>
      <c r="Q465" s="33"/>
    </row>
    <row r="466" ht="13.5" customHeight="1">
      <c r="N466" s="33"/>
      <c r="O466" s="33"/>
      <c r="P466" s="33"/>
      <c r="Q466" s="33"/>
    </row>
    <row r="467" ht="13.5" customHeight="1">
      <c r="N467" s="33"/>
      <c r="O467" s="33"/>
      <c r="P467" s="33"/>
      <c r="Q467" s="33"/>
    </row>
    <row r="468" ht="13.5" customHeight="1">
      <c r="N468" s="33"/>
      <c r="O468" s="33"/>
      <c r="P468" s="33"/>
      <c r="Q468" s="33"/>
    </row>
    <row r="469" ht="13.5" customHeight="1">
      <c r="N469" s="33"/>
      <c r="O469" s="33"/>
      <c r="P469" s="33"/>
      <c r="Q469" s="33"/>
    </row>
    <row r="470" ht="13.5" customHeight="1">
      <c r="N470" s="33"/>
      <c r="O470" s="33"/>
      <c r="P470" s="33"/>
      <c r="Q470" s="33"/>
    </row>
    <row r="471" ht="13.5" customHeight="1">
      <c r="N471" s="33"/>
      <c r="O471" s="33"/>
      <c r="P471" s="33"/>
      <c r="Q471" s="33"/>
    </row>
    <row r="472" ht="13.5" customHeight="1">
      <c r="N472" s="33"/>
      <c r="O472" s="33"/>
      <c r="P472" s="33"/>
      <c r="Q472" s="33"/>
    </row>
    <row r="473" ht="13.5" customHeight="1">
      <c r="N473" s="33"/>
      <c r="O473" s="33"/>
      <c r="P473" s="33"/>
      <c r="Q473" s="33"/>
    </row>
    <row r="474" ht="13.5" customHeight="1">
      <c r="N474" s="33"/>
      <c r="O474" s="33"/>
      <c r="P474" s="33"/>
      <c r="Q474" s="33"/>
    </row>
    <row r="475" ht="13.5" customHeight="1">
      <c r="N475" s="33"/>
      <c r="O475" s="33"/>
      <c r="P475" s="33"/>
      <c r="Q475" s="33"/>
    </row>
    <row r="476" ht="13.5" customHeight="1">
      <c r="N476" s="33"/>
      <c r="O476" s="33"/>
      <c r="P476" s="33"/>
      <c r="Q476" s="33"/>
    </row>
    <row r="477" ht="13.5" customHeight="1">
      <c r="N477" s="33"/>
      <c r="O477" s="33"/>
      <c r="P477" s="33"/>
      <c r="Q477" s="33"/>
    </row>
    <row r="478" ht="13.5" customHeight="1">
      <c r="N478" s="33"/>
      <c r="O478" s="33"/>
      <c r="P478" s="33"/>
      <c r="Q478" s="33"/>
    </row>
    <row r="479" ht="13.5" customHeight="1">
      <c r="N479" s="33"/>
      <c r="O479" s="33"/>
      <c r="P479" s="33"/>
      <c r="Q479" s="33"/>
    </row>
    <row r="480" ht="13.5" customHeight="1">
      <c r="N480" s="33"/>
      <c r="O480" s="33"/>
      <c r="P480" s="33"/>
      <c r="Q480" s="33"/>
    </row>
    <row r="481" ht="13.5" customHeight="1">
      <c r="N481" s="33"/>
      <c r="O481" s="33"/>
      <c r="P481" s="33"/>
      <c r="Q481" s="33"/>
    </row>
    <row r="482" ht="13.5" customHeight="1">
      <c r="N482" s="33"/>
      <c r="O482" s="33"/>
      <c r="P482" s="33"/>
      <c r="Q482" s="33"/>
    </row>
    <row r="483" ht="13.5" customHeight="1">
      <c r="N483" s="33"/>
      <c r="O483" s="33"/>
      <c r="P483" s="33"/>
      <c r="Q483" s="33"/>
    </row>
    <row r="484" ht="13.5" customHeight="1">
      <c r="N484" s="33"/>
      <c r="O484" s="33"/>
      <c r="P484" s="33"/>
      <c r="Q484" s="33"/>
    </row>
    <row r="485" ht="13.5" customHeight="1">
      <c r="N485" s="33"/>
      <c r="O485" s="33"/>
      <c r="P485" s="33"/>
      <c r="Q485" s="33"/>
    </row>
    <row r="486" ht="13.5" customHeight="1">
      <c r="N486" s="33"/>
      <c r="O486" s="33"/>
      <c r="P486" s="33"/>
      <c r="Q486" s="33"/>
    </row>
    <row r="487" ht="13.5" customHeight="1">
      <c r="N487" s="33"/>
      <c r="O487" s="33"/>
      <c r="P487" s="33"/>
      <c r="Q487" s="33"/>
    </row>
    <row r="488" ht="13.5" customHeight="1">
      <c r="N488" s="33"/>
      <c r="O488" s="33"/>
      <c r="P488" s="33"/>
      <c r="Q488" s="33"/>
    </row>
    <row r="489" ht="13.5" customHeight="1">
      <c r="N489" s="33"/>
      <c r="O489" s="33"/>
      <c r="P489" s="33"/>
      <c r="Q489" s="33"/>
    </row>
    <row r="490" ht="13.5" customHeight="1">
      <c r="N490" s="33"/>
      <c r="O490" s="33"/>
      <c r="P490" s="33"/>
      <c r="Q490" s="33"/>
    </row>
    <row r="491" ht="13.5" customHeight="1">
      <c r="N491" s="33"/>
      <c r="O491" s="33"/>
      <c r="P491" s="33"/>
      <c r="Q491" s="33"/>
    </row>
    <row r="492" ht="13.5" customHeight="1">
      <c r="N492" s="33"/>
      <c r="O492" s="33"/>
      <c r="P492" s="33"/>
      <c r="Q492" s="33"/>
    </row>
    <row r="493" ht="13.5" customHeight="1">
      <c r="N493" s="33"/>
      <c r="O493" s="33"/>
      <c r="P493" s="33"/>
      <c r="Q493" s="33"/>
    </row>
    <row r="494" ht="13.5" customHeight="1">
      <c r="N494" s="33"/>
      <c r="O494" s="33"/>
      <c r="P494" s="33"/>
      <c r="Q494" s="33"/>
    </row>
    <row r="495" ht="13.5" customHeight="1">
      <c r="N495" s="33"/>
      <c r="O495" s="33"/>
      <c r="P495" s="33"/>
      <c r="Q495" s="33"/>
    </row>
    <row r="496" ht="13.5" customHeight="1">
      <c r="N496" s="33"/>
      <c r="O496" s="33"/>
      <c r="P496" s="33"/>
      <c r="Q496" s="33"/>
    </row>
    <row r="497" ht="13.5" customHeight="1">
      <c r="N497" s="33"/>
      <c r="O497" s="33"/>
      <c r="P497" s="33"/>
      <c r="Q497" s="33"/>
    </row>
    <row r="498" ht="13.5" customHeight="1">
      <c r="N498" s="33"/>
      <c r="O498" s="33"/>
      <c r="P498" s="33"/>
      <c r="Q498" s="33"/>
    </row>
    <row r="499" ht="13.5" customHeight="1">
      <c r="N499" s="33"/>
      <c r="O499" s="33"/>
      <c r="P499" s="33"/>
      <c r="Q499" s="33"/>
    </row>
    <row r="500" ht="13.5" customHeight="1">
      <c r="N500" s="33"/>
      <c r="O500" s="33"/>
      <c r="P500" s="33"/>
      <c r="Q500" s="33"/>
    </row>
    <row r="501" ht="13.5" customHeight="1">
      <c r="N501" s="33"/>
      <c r="O501" s="33"/>
      <c r="P501" s="33"/>
      <c r="Q501" s="33"/>
    </row>
    <row r="502" ht="13.5" customHeight="1">
      <c r="N502" s="33"/>
      <c r="O502" s="33"/>
      <c r="P502" s="33"/>
      <c r="Q502" s="33"/>
    </row>
    <row r="503" ht="13.5" customHeight="1">
      <c r="N503" s="33"/>
      <c r="O503" s="33"/>
      <c r="P503" s="33"/>
      <c r="Q503" s="33"/>
    </row>
    <row r="504" ht="13.5" customHeight="1">
      <c r="N504" s="33"/>
      <c r="O504" s="33"/>
      <c r="P504" s="33"/>
      <c r="Q504" s="33"/>
    </row>
    <row r="505" ht="13.5" customHeight="1">
      <c r="N505" s="33"/>
      <c r="O505" s="33"/>
      <c r="P505" s="33"/>
      <c r="Q505" s="33"/>
    </row>
    <row r="506" ht="13.5" customHeight="1">
      <c r="N506" s="33"/>
      <c r="O506" s="33"/>
      <c r="P506" s="33"/>
      <c r="Q506" s="33"/>
    </row>
    <row r="507" ht="13.5" customHeight="1">
      <c r="N507" s="33"/>
      <c r="O507" s="33"/>
      <c r="P507" s="33"/>
      <c r="Q507" s="33"/>
    </row>
    <row r="508" ht="13.5" customHeight="1">
      <c r="N508" s="33"/>
      <c r="O508" s="33"/>
      <c r="P508" s="33"/>
      <c r="Q508" s="33"/>
    </row>
    <row r="509" ht="13.5" customHeight="1">
      <c r="N509" s="33"/>
      <c r="O509" s="33"/>
      <c r="P509" s="33"/>
      <c r="Q509" s="33"/>
    </row>
    <row r="510" ht="13.5" customHeight="1">
      <c r="N510" s="33"/>
      <c r="O510" s="33"/>
      <c r="P510" s="33"/>
      <c r="Q510" s="33"/>
    </row>
    <row r="511" ht="13.5" customHeight="1">
      <c r="N511" s="33"/>
      <c r="O511" s="33"/>
      <c r="P511" s="33"/>
      <c r="Q511" s="33"/>
    </row>
    <row r="512" ht="13.5" customHeight="1">
      <c r="N512" s="33"/>
      <c r="O512" s="33"/>
      <c r="P512" s="33"/>
      <c r="Q512" s="33"/>
    </row>
    <row r="513" ht="13.5" customHeight="1">
      <c r="N513" s="33"/>
      <c r="O513" s="33"/>
      <c r="P513" s="33"/>
      <c r="Q513" s="33"/>
    </row>
    <row r="514" ht="13.5" customHeight="1">
      <c r="N514" s="33"/>
      <c r="O514" s="33"/>
      <c r="P514" s="33"/>
      <c r="Q514" s="33"/>
    </row>
    <row r="515" ht="13.5" customHeight="1">
      <c r="N515" s="33"/>
      <c r="O515" s="33"/>
      <c r="P515" s="33"/>
      <c r="Q515" s="33"/>
    </row>
    <row r="516" ht="13.5" customHeight="1">
      <c r="N516" s="33"/>
      <c r="O516" s="33"/>
      <c r="P516" s="33"/>
      <c r="Q516" s="33"/>
    </row>
    <row r="517" ht="13.5" customHeight="1">
      <c r="N517" s="33"/>
      <c r="O517" s="33"/>
      <c r="P517" s="33"/>
      <c r="Q517" s="33"/>
    </row>
    <row r="518" ht="13.5" customHeight="1">
      <c r="N518" s="33"/>
      <c r="O518" s="33"/>
      <c r="P518" s="33"/>
      <c r="Q518" s="33"/>
    </row>
    <row r="519" ht="13.5" customHeight="1">
      <c r="N519" s="33"/>
      <c r="O519" s="33"/>
      <c r="P519" s="33"/>
      <c r="Q519" s="33"/>
    </row>
    <row r="520" ht="13.5" customHeight="1">
      <c r="N520" s="33"/>
      <c r="O520" s="33"/>
      <c r="P520" s="33"/>
      <c r="Q520" s="33"/>
    </row>
    <row r="521" ht="13.5" customHeight="1">
      <c r="N521" s="33"/>
      <c r="O521" s="33"/>
      <c r="P521" s="33"/>
      <c r="Q521" s="33"/>
    </row>
    <row r="522" ht="13.5" customHeight="1">
      <c r="N522" s="33"/>
      <c r="O522" s="33"/>
      <c r="P522" s="33"/>
      <c r="Q522" s="33"/>
    </row>
    <row r="523" ht="13.5" customHeight="1">
      <c r="N523" s="33"/>
      <c r="O523" s="33"/>
      <c r="P523" s="33"/>
      <c r="Q523" s="33"/>
    </row>
    <row r="524" ht="13.5" customHeight="1">
      <c r="N524" s="33"/>
      <c r="O524" s="33"/>
      <c r="P524" s="33"/>
      <c r="Q524" s="33"/>
    </row>
    <row r="525" ht="13.5" customHeight="1">
      <c r="N525" s="33"/>
      <c r="O525" s="33"/>
      <c r="P525" s="33"/>
      <c r="Q525" s="33"/>
    </row>
    <row r="526" ht="13.5" customHeight="1">
      <c r="N526" s="33"/>
      <c r="O526" s="33"/>
      <c r="P526" s="33"/>
      <c r="Q526" s="33"/>
    </row>
    <row r="527" ht="13.5" customHeight="1">
      <c r="N527" s="33"/>
      <c r="O527" s="33"/>
      <c r="P527" s="33"/>
      <c r="Q527" s="33"/>
    </row>
    <row r="528" ht="13.5" customHeight="1">
      <c r="N528" s="33"/>
      <c r="O528" s="33"/>
      <c r="P528" s="33"/>
      <c r="Q528" s="33"/>
    </row>
    <row r="529" ht="13.5" customHeight="1">
      <c r="N529" s="33"/>
      <c r="O529" s="33"/>
      <c r="P529" s="33"/>
      <c r="Q529" s="33"/>
    </row>
    <row r="530" ht="13.5" customHeight="1">
      <c r="N530" s="33"/>
      <c r="O530" s="33"/>
      <c r="P530" s="33"/>
      <c r="Q530" s="33"/>
    </row>
    <row r="531" ht="13.5" customHeight="1">
      <c r="N531" s="33"/>
      <c r="O531" s="33"/>
      <c r="P531" s="33"/>
      <c r="Q531" s="33"/>
    </row>
    <row r="532" ht="13.5" customHeight="1">
      <c r="N532" s="33"/>
      <c r="O532" s="33"/>
      <c r="P532" s="33"/>
      <c r="Q532" s="33"/>
    </row>
    <row r="533" ht="13.5" customHeight="1">
      <c r="N533" s="33"/>
      <c r="O533" s="33"/>
      <c r="P533" s="33"/>
      <c r="Q533" s="33"/>
    </row>
    <row r="534" ht="13.5" customHeight="1">
      <c r="N534" s="33"/>
      <c r="O534" s="33"/>
      <c r="P534" s="33"/>
      <c r="Q534" s="33"/>
    </row>
    <row r="535" ht="13.5" customHeight="1">
      <c r="N535" s="33"/>
      <c r="O535" s="33"/>
      <c r="P535" s="33"/>
      <c r="Q535" s="33"/>
    </row>
    <row r="536" ht="13.5" customHeight="1">
      <c r="N536" s="33"/>
      <c r="O536" s="33"/>
      <c r="P536" s="33"/>
      <c r="Q536" s="33"/>
    </row>
    <row r="537" ht="13.5" customHeight="1">
      <c r="N537" s="33"/>
      <c r="O537" s="33"/>
      <c r="P537" s="33"/>
      <c r="Q537" s="33"/>
    </row>
    <row r="538" ht="13.5" customHeight="1">
      <c r="N538" s="33"/>
      <c r="O538" s="33"/>
      <c r="P538" s="33"/>
      <c r="Q538" s="33"/>
    </row>
    <row r="539" ht="13.5" customHeight="1">
      <c r="N539" s="33"/>
      <c r="O539" s="33"/>
      <c r="P539" s="33"/>
      <c r="Q539" s="33"/>
    </row>
    <row r="540" ht="13.5" customHeight="1">
      <c r="N540" s="33"/>
      <c r="O540" s="33"/>
      <c r="P540" s="33"/>
      <c r="Q540" s="33"/>
    </row>
    <row r="541" ht="13.5" customHeight="1">
      <c r="N541" s="33"/>
      <c r="O541" s="33"/>
      <c r="P541" s="33"/>
      <c r="Q541" s="33"/>
    </row>
    <row r="542" ht="13.5" customHeight="1">
      <c r="N542" s="33"/>
      <c r="O542" s="33"/>
      <c r="P542" s="33"/>
      <c r="Q542" s="33"/>
    </row>
    <row r="543" ht="13.5" customHeight="1">
      <c r="N543" s="33"/>
      <c r="O543" s="33"/>
      <c r="P543" s="33"/>
      <c r="Q543" s="33"/>
    </row>
    <row r="544" ht="13.5" customHeight="1">
      <c r="N544" s="33"/>
      <c r="O544" s="33"/>
      <c r="P544" s="33"/>
      <c r="Q544" s="33"/>
    </row>
    <row r="545" ht="13.5" customHeight="1">
      <c r="N545" s="33"/>
      <c r="O545" s="33"/>
      <c r="P545" s="33"/>
      <c r="Q545" s="33"/>
    </row>
    <row r="546" ht="13.5" customHeight="1">
      <c r="N546" s="33"/>
      <c r="O546" s="33"/>
      <c r="P546" s="33"/>
      <c r="Q546" s="33"/>
    </row>
    <row r="547" ht="13.5" customHeight="1">
      <c r="N547" s="33"/>
      <c r="O547" s="33"/>
      <c r="P547" s="33"/>
      <c r="Q547" s="33"/>
    </row>
    <row r="548" ht="13.5" customHeight="1">
      <c r="N548" s="33"/>
      <c r="O548" s="33"/>
      <c r="P548" s="33"/>
      <c r="Q548" s="33"/>
    </row>
    <row r="549" ht="13.5" customHeight="1">
      <c r="N549" s="33"/>
      <c r="O549" s="33"/>
      <c r="P549" s="33"/>
      <c r="Q549" s="33"/>
    </row>
    <row r="550" ht="13.5" customHeight="1">
      <c r="N550" s="33"/>
      <c r="O550" s="33"/>
      <c r="P550" s="33"/>
      <c r="Q550" s="33"/>
    </row>
    <row r="551" ht="13.5" customHeight="1">
      <c r="N551" s="33"/>
      <c r="O551" s="33"/>
      <c r="P551" s="33"/>
      <c r="Q551" s="33"/>
    </row>
    <row r="552" ht="13.5" customHeight="1">
      <c r="N552" s="33"/>
      <c r="O552" s="33"/>
      <c r="P552" s="33"/>
      <c r="Q552" s="33"/>
    </row>
    <row r="553" ht="13.5" customHeight="1">
      <c r="N553" s="33"/>
      <c r="O553" s="33"/>
      <c r="P553" s="33"/>
      <c r="Q553" s="33"/>
    </row>
    <row r="554" ht="13.5" customHeight="1">
      <c r="N554" s="33"/>
      <c r="O554" s="33"/>
      <c r="P554" s="33"/>
      <c r="Q554" s="33"/>
    </row>
    <row r="555" ht="13.5" customHeight="1">
      <c r="N555" s="33"/>
      <c r="O555" s="33"/>
      <c r="P555" s="33"/>
      <c r="Q555" s="33"/>
    </row>
    <row r="556" ht="13.5" customHeight="1">
      <c r="N556" s="33"/>
      <c r="O556" s="33"/>
      <c r="P556" s="33"/>
      <c r="Q556" s="33"/>
    </row>
    <row r="557" ht="13.5" customHeight="1">
      <c r="N557" s="33"/>
      <c r="O557" s="33"/>
      <c r="P557" s="33"/>
      <c r="Q557" s="33"/>
    </row>
    <row r="558" ht="13.5" customHeight="1">
      <c r="N558" s="33"/>
      <c r="O558" s="33"/>
      <c r="P558" s="33"/>
      <c r="Q558" s="33"/>
    </row>
    <row r="559" ht="13.5" customHeight="1">
      <c r="N559" s="33"/>
      <c r="O559" s="33"/>
      <c r="P559" s="33"/>
      <c r="Q559" s="33"/>
    </row>
    <row r="560" ht="13.5" customHeight="1">
      <c r="N560" s="33"/>
      <c r="O560" s="33"/>
      <c r="P560" s="33"/>
      <c r="Q560" s="33"/>
    </row>
    <row r="561" ht="13.5" customHeight="1">
      <c r="N561" s="33"/>
      <c r="O561" s="33"/>
      <c r="P561" s="33"/>
      <c r="Q561" s="33"/>
    </row>
    <row r="562" ht="13.5" customHeight="1">
      <c r="N562" s="33"/>
      <c r="O562" s="33"/>
      <c r="P562" s="33"/>
      <c r="Q562" s="33"/>
    </row>
    <row r="563" ht="13.5" customHeight="1">
      <c r="N563" s="33"/>
      <c r="O563" s="33"/>
      <c r="P563" s="33"/>
      <c r="Q563" s="33"/>
    </row>
    <row r="564" ht="13.5" customHeight="1">
      <c r="N564" s="33"/>
      <c r="O564" s="33"/>
      <c r="P564" s="33"/>
      <c r="Q564" s="33"/>
    </row>
    <row r="565" ht="13.5" customHeight="1">
      <c r="N565" s="33"/>
      <c r="O565" s="33"/>
      <c r="P565" s="33"/>
      <c r="Q565" s="33"/>
    </row>
    <row r="566" ht="13.5" customHeight="1">
      <c r="N566" s="33"/>
      <c r="O566" s="33"/>
      <c r="P566" s="33"/>
      <c r="Q566" s="33"/>
    </row>
    <row r="567" ht="13.5" customHeight="1">
      <c r="N567" s="33"/>
      <c r="O567" s="33"/>
      <c r="P567" s="33"/>
      <c r="Q567" s="33"/>
    </row>
    <row r="568" ht="13.5" customHeight="1">
      <c r="N568" s="33"/>
      <c r="O568" s="33"/>
      <c r="P568" s="33"/>
      <c r="Q568" s="33"/>
    </row>
    <row r="569" ht="13.5" customHeight="1">
      <c r="N569" s="33"/>
      <c r="O569" s="33"/>
      <c r="P569" s="33"/>
      <c r="Q569" s="33"/>
    </row>
    <row r="570" ht="13.5" customHeight="1">
      <c r="N570" s="33"/>
      <c r="O570" s="33"/>
      <c r="P570" s="33"/>
      <c r="Q570" s="33"/>
    </row>
    <row r="571" ht="13.5" customHeight="1">
      <c r="N571" s="33"/>
      <c r="O571" s="33"/>
      <c r="P571" s="33"/>
      <c r="Q571" s="33"/>
    </row>
    <row r="572" ht="13.5" customHeight="1">
      <c r="N572" s="33"/>
      <c r="O572" s="33"/>
      <c r="P572" s="33"/>
      <c r="Q572" s="33"/>
    </row>
    <row r="573" ht="13.5" customHeight="1">
      <c r="N573" s="33"/>
      <c r="O573" s="33"/>
      <c r="P573" s="33"/>
      <c r="Q573" s="33"/>
    </row>
    <row r="574" ht="13.5" customHeight="1">
      <c r="N574" s="33"/>
      <c r="O574" s="33"/>
      <c r="P574" s="33"/>
      <c r="Q574" s="33"/>
    </row>
    <row r="575" ht="13.5" customHeight="1">
      <c r="N575" s="33"/>
      <c r="O575" s="33"/>
      <c r="P575" s="33"/>
      <c r="Q575" s="33"/>
    </row>
    <row r="576" ht="13.5" customHeight="1">
      <c r="N576" s="33"/>
      <c r="O576" s="33"/>
      <c r="P576" s="33"/>
      <c r="Q576" s="33"/>
    </row>
    <row r="577" ht="13.5" customHeight="1">
      <c r="N577" s="33"/>
      <c r="O577" s="33"/>
      <c r="P577" s="33"/>
      <c r="Q577" s="33"/>
    </row>
    <row r="578" ht="13.5" customHeight="1">
      <c r="N578" s="33"/>
      <c r="O578" s="33"/>
      <c r="P578" s="33"/>
      <c r="Q578" s="33"/>
    </row>
    <row r="579" ht="13.5" customHeight="1">
      <c r="N579" s="33"/>
      <c r="O579" s="33"/>
      <c r="P579" s="33"/>
      <c r="Q579" s="33"/>
    </row>
    <row r="580" ht="13.5" customHeight="1">
      <c r="N580" s="33"/>
      <c r="O580" s="33"/>
      <c r="P580" s="33"/>
      <c r="Q580" s="33"/>
    </row>
    <row r="581" ht="13.5" customHeight="1">
      <c r="N581" s="33"/>
      <c r="O581" s="33"/>
      <c r="P581" s="33"/>
      <c r="Q581" s="33"/>
    </row>
    <row r="582" ht="13.5" customHeight="1">
      <c r="N582" s="33"/>
      <c r="O582" s="33"/>
      <c r="P582" s="33"/>
      <c r="Q582" s="33"/>
    </row>
    <row r="583" ht="13.5" customHeight="1">
      <c r="N583" s="33"/>
      <c r="O583" s="33"/>
      <c r="P583" s="33"/>
      <c r="Q583" s="33"/>
    </row>
    <row r="584" ht="13.5" customHeight="1">
      <c r="N584" s="33"/>
      <c r="O584" s="33"/>
      <c r="P584" s="33"/>
      <c r="Q584" s="33"/>
    </row>
    <row r="585" ht="13.5" customHeight="1">
      <c r="N585" s="33"/>
      <c r="O585" s="33"/>
      <c r="P585" s="33"/>
      <c r="Q585" s="33"/>
    </row>
    <row r="586" ht="13.5" customHeight="1">
      <c r="N586" s="33"/>
      <c r="O586" s="33"/>
      <c r="P586" s="33"/>
      <c r="Q586" s="33"/>
    </row>
    <row r="587" ht="13.5" customHeight="1">
      <c r="N587" s="33"/>
      <c r="O587" s="33"/>
      <c r="P587" s="33"/>
      <c r="Q587" s="33"/>
    </row>
    <row r="588" ht="13.5" customHeight="1">
      <c r="N588" s="33"/>
      <c r="O588" s="33"/>
      <c r="P588" s="33"/>
      <c r="Q588" s="33"/>
    </row>
    <row r="589" ht="13.5" customHeight="1">
      <c r="N589" s="33"/>
      <c r="O589" s="33"/>
      <c r="P589" s="33"/>
      <c r="Q589" s="33"/>
    </row>
    <row r="590" ht="13.5" customHeight="1">
      <c r="N590" s="33"/>
      <c r="O590" s="33"/>
      <c r="P590" s="33"/>
      <c r="Q590" s="33"/>
    </row>
    <row r="591" ht="13.5" customHeight="1">
      <c r="N591" s="33"/>
      <c r="O591" s="33"/>
      <c r="P591" s="33"/>
      <c r="Q591" s="33"/>
    </row>
    <row r="592" ht="13.5" customHeight="1">
      <c r="N592" s="33"/>
      <c r="O592" s="33"/>
      <c r="P592" s="33"/>
      <c r="Q592" s="33"/>
    </row>
    <row r="593" ht="13.5" customHeight="1">
      <c r="N593" s="33"/>
      <c r="O593" s="33"/>
      <c r="P593" s="33"/>
      <c r="Q593" s="33"/>
    </row>
    <row r="594" ht="13.5" customHeight="1">
      <c r="N594" s="33"/>
      <c r="O594" s="33"/>
      <c r="P594" s="33"/>
      <c r="Q594" s="33"/>
    </row>
    <row r="595" ht="13.5" customHeight="1">
      <c r="N595" s="33"/>
      <c r="O595" s="33"/>
      <c r="P595" s="33"/>
      <c r="Q595" s="33"/>
    </row>
    <row r="596" ht="13.5" customHeight="1">
      <c r="N596" s="33"/>
      <c r="O596" s="33"/>
      <c r="P596" s="33"/>
      <c r="Q596" s="33"/>
    </row>
    <row r="597" ht="13.5" customHeight="1">
      <c r="N597" s="33"/>
      <c r="O597" s="33"/>
      <c r="P597" s="33"/>
      <c r="Q597" s="33"/>
    </row>
    <row r="598" ht="13.5" customHeight="1">
      <c r="N598" s="33"/>
      <c r="O598" s="33"/>
      <c r="P598" s="33"/>
      <c r="Q598" s="33"/>
    </row>
    <row r="599" ht="13.5" customHeight="1">
      <c r="N599" s="33"/>
      <c r="O599" s="33"/>
      <c r="P599" s="33"/>
      <c r="Q599" s="33"/>
    </row>
    <row r="600" ht="13.5" customHeight="1">
      <c r="N600" s="33"/>
      <c r="O600" s="33"/>
      <c r="P600" s="33"/>
      <c r="Q600" s="33"/>
    </row>
    <row r="601" ht="13.5" customHeight="1">
      <c r="N601" s="33"/>
      <c r="O601" s="33"/>
      <c r="P601" s="33"/>
      <c r="Q601" s="33"/>
    </row>
    <row r="602" ht="13.5" customHeight="1">
      <c r="N602" s="33"/>
      <c r="O602" s="33"/>
      <c r="P602" s="33"/>
      <c r="Q602" s="33"/>
    </row>
    <row r="603" ht="13.5" customHeight="1">
      <c r="N603" s="33"/>
      <c r="O603" s="33"/>
      <c r="P603" s="33"/>
      <c r="Q603" s="33"/>
    </row>
    <row r="604" ht="13.5" customHeight="1">
      <c r="N604" s="33"/>
      <c r="O604" s="33"/>
      <c r="P604" s="33"/>
      <c r="Q604" s="33"/>
    </row>
    <row r="605" ht="13.5" customHeight="1">
      <c r="N605" s="33"/>
      <c r="O605" s="33"/>
      <c r="P605" s="33"/>
      <c r="Q605" s="33"/>
    </row>
    <row r="606" ht="13.5" customHeight="1">
      <c r="N606" s="33"/>
      <c r="O606" s="33"/>
      <c r="P606" s="33"/>
      <c r="Q606" s="33"/>
    </row>
    <row r="607" ht="13.5" customHeight="1">
      <c r="N607" s="33"/>
      <c r="O607" s="33"/>
      <c r="P607" s="33"/>
      <c r="Q607" s="33"/>
    </row>
    <row r="608" ht="13.5" customHeight="1">
      <c r="N608" s="33"/>
      <c r="O608" s="33"/>
      <c r="P608" s="33"/>
      <c r="Q608" s="33"/>
    </row>
    <row r="609" ht="13.5" customHeight="1">
      <c r="N609" s="33"/>
      <c r="O609" s="33"/>
      <c r="P609" s="33"/>
      <c r="Q609" s="33"/>
    </row>
    <row r="610" ht="13.5" customHeight="1">
      <c r="N610" s="33"/>
      <c r="O610" s="33"/>
      <c r="P610" s="33"/>
      <c r="Q610" s="33"/>
    </row>
    <row r="611" ht="13.5" customHeight="1">
      <c r="N611" s="33"/>
      <c r="O611" s="33"/>
      <c r="P611" s="33"/>
      <c r="Q611" s="33"/>
    </row>
    <row r="612" ht="13.5" customHeight="1">
      <c r="N612" s="33"/>
      <c r="O612" s="33"/>
      <c r="P612" s="33"/>
      <c r="Q612" s="33"/>
    </row>
    <row r="613" ht="13.5" customHeight="1">
      <c r="N613" s="33"/>
      <c r="O613" s="33"/>
      <c r="P613" s="33"/>
      <c r="Q613" s="33"/>
    </row>
    <row r="614" ht="13.5" customHeight="1">
      <c r="N614" s="33"/>
      <c r="O614" s="33"/>
      <c r="P614" s="33"/>
      <c r="Q614" s="33"/>
    </row>
    <row r="615" ht="13.5" customHeight="1">
      <c r="N615" s="33"/>
      <c r="O615" s="33"/>
      <c r="P615" s="33"/>
      <c r="Q615" s="33"/>
    </row>
    <row r="616" ht="13.5" customHeight="1">
      <c r="N616" s="33"/>
      <c r="O616" s="33"/>
      <c r="P616" s="33"/>
      <c r="Q616" s="33"/>
    </row>
    <row r="617" ht="13.5" customHeight="1">
      <c r="N617" s="33"/>
      <c r="O617" s="33"/>
      <c r="P617" s="33"/>
      <c r="Q617" s="33"/>
    </row>
    <row r="618" ht="13.5" customHeight="1">
      <c r="N618" s="33"/>
      <c r="O618" s="33"/>
      <c r="P618" s="33"/>
      <c r="Q618" s="33"/>
    </row>
    <row r="619" ht="13.5" customHeight="1">
      <c r="N619" s="33"/>
      <c r="O619" s="33"/>
      <c r="P619" s="33"/>
      <c r="Q619" s="33"/>
    </row>
    <row r="620" ht="13.5" customHeight="1">
      <c r="N620" s="33"/>
      <c r="O620" s="33"/>
      <c r="P620" s="33"/>
      <c r="Q620" s="33"/>
    </row>
    <row r="621" ht="13.5" customHeight="1">
      <c r="N621" s="33"/>
      <c r="O621" s="33"/>
      <c r="P621" s="33"/>
      <c r="Q621" s="33"/>
    </row>
    <row r="622" ht="13.5" customHeight="1">
      <c r="N622" s="33"/>
      <c r="O622" s="33"/>
      <c r="P622" s="33"/>
      <c r="Q622" s="33"/>
    </row>
    <row r="623" ht="13.5" customHeight="1">
      <c r="N623" s="33"/>
      <c r="O623" s="33"/>
      <c r="P623" s="33"/>
      <c r="Q623" s="33"/>
    </row>
    <row r="624" ht="13.5" customHeight="1">
      <c r="N624" s="33"/>
      <c r="O624" s="33"/>
      <c r="P624" s="33"/>
      <c r="Q624" s="33"/>
    </row>
    <row r="625" ht="13.5" customHeight="1">
      <c r="N625" s="33"/>
      <c r="O625" s="33"/>
      <c r="P625" s="33"/>
      <c r="Q625" s="33"/>
    </row>
    <row r="626" ht="13.5" customHeight="1">
      <c r="N626" s="33"/>
      <c r="O626" s="33"/>
      <c r="P626" s="33"/>
      <c r="Q626" s="33"/>
    </row>
    <row r="627" ht="13.5" customHeight="1">
      <c r="N627" s="33"/>
      <c r="O627" s="33"/>
      <c r="P627" s="33"/>
      <c r="Q627" s="33"/>
    </row>
    <row r="628" ht="13.5" customHeight="1">
      <c r="N628" s="33"/>
      <c r="O628" s="33"/>
      <c r="P628" s="33"/>
      <c r="Q628" s="33"/>
    </row>
    <row r="629" ht="13.5" customHeight="1">
      <c r="N629" s="33"/>
      <c r="O629" s="33"/>
      <c r="P629" s="33"/>
      <c r="Q629" s="33"/>
    </row>
    <row r="630" ht="13.5" customHeight="1">
      <c r="N630" s="33"/>
      <c r="O630" s="33"/>
      <c r="P630" s="33"/>
      <c r="Q630" s="33"/>
    </row>
    <row r="631" ht="13.5" customHeight="1">
      <c r="N631" s="33"/>
      <c r="O631" s="33"/>
      <c r="P631" s="33"/>
      <c r="Q631" s="33"/>
    </row>
    <row r="632" ht="13.5" customHeight="1">
      <c r="N632" s="33"/>
      <c r="O632" s="33"/>
      <c r="P632" s="33"/>
      <c r="Q632" s="33"/>
    </row>
    <row r="633" ht="13.5" customHeight="1">
      <c r="N633" s="33"/>
      <c r="O633" s="33"/>
      <c r="P633" s="33"/>
      <c r="Q633" s="33"/>
    </row>
    <row r="634" ht="13.5" customHeight="1">
      <c r="N634" s="33"/>
      <c r="O634" s="33"/>
      <c r="P634" s="33"/>
      <c r="Q634" s="33"/>
    </row>
    <row r="635" ht="13.5" customHeight="1">
      <c r="N635" s="33"/>
      <c r="O635" s="33"/>
      <c r="P635" s="33"/>
      <c r="Q635" s="33"/>
    </row>
    <row r="636" ht="13.5" customHeight="1">
      <c r="N636" s="33"/>
      <c r="O636" s="33"/>
      <c r="P636" s="33"/>
      <c r="Q636" s="33"/>
    </row>
    <row r="637" ht="13.5" customHeight="1">
      <c r="N637" s="33"/>
      <c r="O637" s="33"/>
      <c r="P637" s="33"/>
      <c r="Q637" s="33"/>
    </row>
    <row r="638" ht="13.5" customHeight="1">
      <c r="N638" s="33"/>
      <c r="O638" s="33"/>
      <c r="P638" s="33"/>
      <c r="Q638" s="33"/>
    </row>
    <row r="639" ht="13.5" customHeight="1">
      <c r="N639" s="33"/>
      <c r="O639" s="33"/>
      <c r="P639" s="33"/>
      <c r="Q639" s="33"/>
    </row>
    <row r="640" ht="13.5" customHeight="1">
      <c r="N640" s="33"/>
      <c r="O640" s="33"/>
      <c r="P640" s="33"/>
      <c r="Q640" s="33"/>
    </row>
    <row r="641" ht="13.5" customHeight="1">
      <c r="N641" s="33"/>
      <c r="O641" s="33"/>
      <c r="P641" s="33"/>
      <c r="Q641" s="33"/>
    </row>
    <row r="642" ht="13.5" customHeight="1">
      <c r="N642" s="33"/>
      <c r="O642" s="33"/>
      <c r="P642" s="33"/>
      <c r="Q642" s="33"/>
    </row>
    <row r="643" ht="13.5" customHeight="1">
      <c r="N643" s="33"/>
      <c r="O643" s="33"/>
      <c r="P643" s="33"/>
      <c r="Q643" s="33"/>
    </row>
    <row r="644" ht="13.5" customHeight="1">
      <c r="N644" s="33"/>
      <c r="O644" s="33"/>
      <c r="P644" s="33"/>
      <c r="Q644" s="33"/>
    </row>
    <row r="645" ht="13.5" customHeight="1">
      <c r="N645" s="33"/>
      <c r="O645" s="33"/>
      <c r="P645" s="33"/>
      <c r="Q645" s="33"/>
    </row>
    <row r="646" ht="13.5" customHeight="1">
      <c r="N646" s="33"/>
      <c r="O646" s="33"/>
      <c r="P646" s="33"/>
      <c r="Q646" s="33"/>
    </row>
    <row r="647" ht="13.5" customHeight="1">
      <c r="N647" s="33"/>
      <c r="O647" s="33"/>
      <c r="P647" s="33"/>
      <c r="Q647" s="33"/>
    </row>
    <row r="648" ht="13.5" customHeight="1">
      <c r="N648" s="33"/>
      <c r="O648" s="33"/>
      <c r="P648" s="33"/>
      <c r="Q648" s="33"/>
    </row>
    <row r="649" ht="13.5" customHeight="1">
      <c r="N649" s="33"/>
      <c r="O649" s="33"/>
      <c r="P649" s="33"/>
      <c r="Q649" s="33"/>
    </row>
    <row r="650" ht="13.5" customHeight="1">
      <c r="N650" s="33"/>
      <c r="O650" s="33"/>
      <c r="P650" s="33"/>
      <c r="Q650" s="33"/>
    </row>
    <row r="651" ht="13.5" customHeight="1">
      <c r="N651" s="33"/>
      <c r="O651" s="33"/>
      <c r="P651" s="33"/>
      <c r="Q651" s="33"/>
    </row>
    <row r="652" ht="13.5" customHeight="1">
      <c r="N652" s="33"/>
      <c r="O652" s="33"/>
      <c r="P652" s="33"/>
      <c r="Q652" s="33"/>
    </row>
    <row r="653" ht="13.5" customHeight="1">
      <c r="N653" s="33"/>
      <c r="O653" s="33"/>
      <c r="P653" s="33"/>
      <c r="Q653" s="33"/>
    </row>
    <row r="654" ht="13.5" customHeight="1">
      <c r="N654" s="33"/>
      <c r="O654" s="33"/>
      <c r="P654" s="33"/>
      <c r="Q654" s="33"/>
    </row>
    <row r="655" ht="13.5" customHeight="1">
      <c r="N655" s="33"/>
      <c r="O655" s="33"/>
      <c r="P655" s="33"/>
      <c r="Q655" s="33"/>
    </row>
    <row r="656" ht="13.5" customHeight="1">
      <c r="N656" s="33"/>
      <c r="O656" s="33"/>
      <c r="P656" s="33"/>
      <c r="Q656" s="33"/>
    </row>
    <row r="657" ht="13.5" customHeight="1">
      <c r="N657" s="33"/>
      <c r="O657" s="33"/>
      <c r="P657" s="33"/>
      <c r="Q657" s="33"/>
    </row>
    <row r="658" ht="13.5" customHeight="1">
      <c r="N658" s="33"/>
      <c r="O658" s="33"/>
      <c r="P658" s="33"/>
      <c r="Q658" s="33"/>
    </row>
    <row r="659" ht="13.5" customHeight="1">
      <c r="N659" s="33"/>
      <c r="O659" s="33"/>
      <c r="P659" s="33"/>
      <c r="Q659" s="33"/>
    </row>
    <row r="660" ht="13.5" customHeight="1">
      <c r="N660" s="33"/>
      <c r="O660" s="33"/>
      <c r="P660" s="33"/>
      <c r="Q660" s="33"/>
    </row>
    <row r="661" ht="13.5" customHeight="1">
      <c r="N661" s="33"/>
      <c r="O661" s="33"/>
      <c r="P661" s="33"/>
      <c r="Q661" s="33"/>
    </row>
    <row r="662" ht="13.5" customHeight="1">
      <c r="N662" s="33"/>
      <c r="O662" s="33"/>
      <c r="P662" s="33"/>
      <c r="Q662" s="33"/>
    </row>
    <row r="663" ht="13.5" customHeight="1">
      <c r="N663" s="33"/>
      <c r="O663" s="33"/>
      <c r="P663" s="33"/>
      <c r="Q663" s="33"/>
    </row>
    <row r="664" ht="13.5" customHeight="1">
      <c r="N664" s="33"/>
      <c r="O664" s="33"/>
      <c r="P664" s="33"/>
      <c r="Q664" s="33"/>
    </row>
    <row r="665" ht="13.5" customHeight="1">
      <c r="N665" s="33"/>
      <c r="O665" s="33"/>
      <c r="P665" s="33"/>
      <c r="Q665" s="33"/>
    </row>
    <row r="666" ht="13.5" customHeight="1">
      <c r="N666" s="33"/>
      <c r="O666" s="33"/>
      <c r="P666" s="33"/>
      <c r="Q666" s="33"/>
    </row>
    <row r="667" ht="13.5" customHeight="1">
      <c r="N667" s="33"/>
      <c r="O667" s="33"/>
      <c r="P667" s="33"/>
      <c r="Q667" s="33"/>
    </row>
    <row r="668" ht="13.5" customHeight="1">
      <c r="N668" s="33"/>
      <c r="O668" s="33"/>
      <c r="P668" s="33"/>
      <c r="Q668" s="33"/>
    </row>
    <row r="669" ht="13.5" customHeight="1">
      <c r="N669" s="33"/>
      <c r="O669" s="33"/>
      <c r="P669" s="33"/>
      <c r="Q669" s="33"/>
    </row>
    <row r="670" ht="13.5" customHeight="1">
      <c r="N670" s="33"/>
      <c r="O670" s="33"/>
      <c r="P670" s="33"/>
      <c r="Q670" s="33"/>
    </row>
    <row r="671" ht="13.5" customHeight="1">
      <c r="N671" s="33"/>
      <c r="O671" s="33"/>
      <c r="P671" s="33"/>
      <c r="Q671" s="33"/>
    </row>
    <row r="672" ht="13.5" customHeight="1">
      <c r="N672" s="33"/>
      <c r="O672" s="33"/>
      <c r="P672" s="33"/>
      <c r="Q672" s="33"/>
    </row>
    <row r="673" ht="13.5" customHeight="1">
      <c r="N673" s="33"/>
      <c r="O673" s="33"/>
      <c r="P673" s="33"/>
      <c r="Q673" s="33"/>
    </row>
    <row r="674" ht="13.5" customHeight="1">
      <c r="N674" s="33"/>
      <c r="O674" s="33"/>
      <c r="P674" s="33"/>
      <c r="Q674" s="33"/>
    </row>
    <row r="675" ht="13.5" customHeight="1">
      <c r="N675" s="33"/>
      <c r="O675" s="33"/>
      <c r="P675" s="33"/>
      <c r="Q675" s="33"/>
    </row>
    <row r="676" ht="13.5" customHeight="1">
      <c r="N676" s="33"/>
      <c r="O676" s="33"/>
      <c r="P676" s="33"/>
      <c r="Q676" s="33"/>
    </row>
    <row r="677" ht="13.5" customHeight="1">
      <c r="N677" s="33"/>
      <c r="O677" s="33"/>
      <c r="P677" s="33"/>
      <c r="Q677" s="33"/>
    </row>
    <row r="678" ht="13.5" customHeight="1">
      <c r="N678" s="33"/>
      <c r="O678" s="33"/>
      <c r="P678" s="33"/>
      <c r="Q678" s="33"/>
    </row>
    <row r="679" ht="13.5" customHeight="1">
      <c r="N679" s="33"/>
      <c r="O679" s="33"/>
      <c r="P679" s="33"/>
      <c r="Q679" s="33"/>
    </row>
    <row r="680" ht="13.5" customHeight="1">
      <c r="N680" s="33"/>
      <c r="O680" s="33"/>
      <c r="P680" s="33"/>
      <c r="Q680" s="33"/>
    </row>
    <row r="681" ht="13.5" customHeight="1">
      <c r="N681" s="33"/>
      <c r="O681" s="33"/>
      <c r="P681" s="33"/>
      <c r="Q681" s="33"/>
    </row>
    <row r="682" ht="13.5" customHeight="1">
      <c r="N682" s="33"/>
      <c r="O682" s="33"/>
      <c r="P682" s="33"/>
      <c r="Q682" s="33"/>
    </row>
    <row r="683" ht="13.5" customHeight="1">
      <c r="N683" s="33"/>
      <c r="O683" s="33"/>
      <c r="P683" s="33"/>
      <c r="Q683" s="33"/>
    </row>
    <row r="684" ht="13.5" customHeight="1">
      <c r="N684" s="33"/>
      <c r="O684" s="33"/>
      <c r="P684" s="33"/>
      <c r="Q684" s="33"/>
    </row>
    <row r="685" ht="13.5" customHeight="1">
      <c r="N685" s="33"/>
      <c r="O685" s="33"/>
      <c r="P685" s="33"/>
      <c r="Q685" s="33"/>
    </row>
    <row r="686" ht="13.5" customHeight="1">
      <c r="N686" s="33"/>
      <c r="O686" s="33"/>
      <c r="P686" s="33"/>
      <c r="Q686" s="33"/>
    </row>
    <row r="687" ht="13.5" customHeight="1">
      <c r="N687" s="33"/>
      <c r="O687" s="33"/>
      <c r="P687" s="33"/>
      <c r="Q687" s="33"/>
    </row>
    <row r="688" ht="13.5" customHeight="1">
      <c r="N688" s="33"/>
      <c r="O688" s="33"/>
      <c r="P688" s="33"/>
      <c r="Q688" s="33"/>
    </row>
    <row r="689" ht="13.5" customHeight="1">
      <c r="N689" s="33"/>
      <c r="O689" s="33"/>
      <c r="P689" s="33"/>
      <c r="Q689" s="33"/>
    </row>
    <row r="690" ht="13.5" customHeight="1">
      <c r="N690" s="33"/>
      <c r="O690" s="33"/>
      <c r="P690" s="33"/>
      <c r="Q690" s="33"/>
    </row>
    <row r="691" ht="13.5" customHeight="1">
      <c r="N691" s="33"/>
      <c r="O691" s="33"/>
      <c r="P691" s="33"/>
      <c r="Q691" s="33"/>
    </row>
    <row r="692" ht="13.5" customHeight="1">
      <c r="N692" s="33"/>
      <c r="O692" s="33"/>
      <c r="P692" s="33"/>
      <c r="Q692" s="33"/>
    </row>
    <row r="693" ht="13.5" customHeight="1">
      <c r="N693" s="33"/>
      <c r="O693" s="33"/>
      <c r="P693" s="33"/>
      <c r="Q693" s="33"/>
    </row>
    <row r="694" ht="13.5" customHeight="1">
      <c r="N694" s="33"/>
      <c r="O694" s="33"/>
      <c r="P694" s="33"/>
      <c r="Q694" s="33"/>
    </row>
    <row r="695" ht="13.5" customHeight="1">
      <c r="N695" s="33"/>
      <c r="O695" s="33"/>
      <c r="P695" s="33"/>
      <c r="Q695" s="33"/>
    </row>
    <row r="696" ht="13.5" customHeight="1">
      <c r="N696" s="33"/>
      <c r="O696" s="33"/>
      <c r="P696" s="33"/>
      <c r="Q696" s="33"/>
    </row>
    <row r="697" ht="13.5" customHeight="1">
      <c r="N697" s="33"/>
      <c r="O697" s="33"/>
      <c r="P697" s="33"/>
      <c r="Q697" s="33"/>
    </row>
    <row r="698" ht="13.5" customHeight="1">
      <c r="N698" s="33"/>
      <c r="O698" s="33"/>
      <c r="P698" s="33"/>
      <c r="Q698" s="33"/>
    </row>
    <row r="699" ht="13.5" customHeight="1">
      <c r="N699" s="33"/>
      <c r="O699" s="33"/>
      <c r="P699" s="33"/>
      <c r="Q699" s="33"/>
    </row>
    <row r="700" ht="13.5" customHeight="1">
      <c r="N700" s="33"/>
      <c r="O700" s="33"/>
      <c r="P700" s="33"/>
      <c r="Q700" s="33"/>
    </row>
    <row r="701" ht="13.5" customHeight="1">
      <c r="N701" s="33"/>
      <c r="O701" s="33"/>
      <c r="P701" s="33"/>
      <c r="Q701" s="33"/>
    </row>
    <row r="702" ht="13.5" customHeight="1">
      <c r="N702" s="33"/>
      <c r="O702" s="33"/>
      <c r="P702" s="33"/>
      <c r="Q702" s="33"/>
    </row>
    <row r="703" ht="13.5" customHeight="1">
      <c r="N703" s="33"/>
      <c r="O703" s="33"/>
      <c r="P703" s="33"/>
      <c r="Q703" s="33"/>
    </row>
    <row r="704" ht="13.5" customHeight="1">
      <c r="N704" s="33"/>
      <c r="O704" s="33"/>
      <c r="P704" s="33"/>
      <c r="Q704" s="33"/>
    </row>
    <row r="705" ht="13.5" customHeight="1">
      <c r="N705" s="33"/>
      <c r="O705" s="33"/>
      <c r="P705" s="33"/>
      <c r="Q705" s="33"/>
    </row>
    <row r="706" ht="13.5" customHeight="1">
      <c r="N706" s="33"/>
      <c r="O706" s="33"/>
      <c r="P706" s="33"/>
      <c r="Q706" s="33"/>
    </row>
    <row r="707" ht="13.5" customHeight="1">
      <c r="N707" s="33"/>
      <c r="O707" s="33"/>
      <c r="P707" s="33"/>
      <c r="Q707" s="33"/>
    </row>
    <row r="708" ht="13.5" customHeight="1">
      <c r="N708" s="33"/>
      <c r="O708" s="33"/>
      <c r="P708" s="33"/>
      <c r="Q708" s="33"/>
    </row>
    <row r="709" ht="13.5" customHeight="1">
      <c r="N709" s="33"/>
      <c r="O709" s="33"/>
      <c r="P709" s="33"/>
      <c r="Q709" s="33"/>
    </row>
    <row r="710" ht="13.5" customHeight="1">
      <c r="N710" s="33"/>
      <c r="O710" s="33"/>
      <c r="P710" s="33"/>
      <c r="Q710" s="33"/>
    </row>
    <row r="711" ht="13.5" customHeight="1">
      <c r="N711" s="33"/>
      <c r="O711" s="33"/>
      <c r="P711" s="33"/>
      <c r="Q711" s="33"/>
    </row>
    <row r="712" ht="13.5" customHeight="1">
      <c r="N712" s="33"/>
      <c r="O712" s="33"/>
      <c r="P712" s="33"/>
      <c r="Q712" s="33"/>
    </row>
    <row r="713" ht="13.5" customHeight="1">
      <c r="N713" s="33"/>
      <c r="O713" s="33"/>
      <c r="P713" s="33"/>
      <c r="Q713" s="33"/>
    </row>
    <row r="714" ht="13.5" customHeight="1">
      <c r="N714" s="33"/>
      <c r="O714" s="33"/>
      <c r="P714" s="33"/>
      <c r="Q714" s="33"/>
    </row>
    <row r="715" ht="13.5" customHeight="1">
      <c r="N715" s="33"/>
      <c r="O715" s="33"/>
      <c r="P715" s="33"/>
      <c r="Q715" s="33"/>
    </row>
    <row r="716" ht="13.5" customHeight="1">
      <c r="N716" s="33"/>
      <c r="O716" s="33"/>
      <c r="P716" s="33"/>
      <c r="Q716" s="33"/>
    </row>
    <row r="717" ht="13.5" customHeight="1">
      <c r="N717" s="33"/>
      <c r="O717" s="33"/>
      <c r="P717" s="33"/>
      <c r="Q717" s="33"/>
    </row>
    <row r="718" ht="13.5" customHeight="1">
      <c r="N718" s="33"/>
      <c r="O718" s="33"/>
      <c r="P718" s="33"/>
      <c r="Q718" s="33"/>
    </row>
    <row r="719" ht="13.5" customHeight="1">
      <c r="N719" s="33"/>
      <c r="O719" s="33"/>
      <c r="P719" s="33"/>
      <c r="Q719" s="33"/>
    </row>
    <row r="720" ht="13.5" customHeight="1">
      <c r="N720" s="33"/>
      <c r="O720" s="33"/>
      <c r="P720" s="33"/>
      <c r="Q720" s="33"/>
    </row>
    <row r="721" ht="13.5" customHeight="1">
      <c r="N721" s="33"/>
      <c r="O721" s="33"/>
      <c r="P721" s="33"/>
      <c r="Q721" s="33"/>
    </row>
    <row r="722" ht="13.5" customHeight="1">
      <c r="N722" s="33"/>
      <c r="O722" s="33"/>
      <c r="P722" s="33"/>
      <c r="Q722" s="33"/>
    </row>
    <row r="723" ht="13.5" customHeight="1">
      <c r="N723" s="33"/>
      <c r="O723" s="33"/>
      <c r="P723" s="33"/>
      <c r="Q723" s="33"/>
    </row>
    <row r="724" ht="13.5" customHeight="1">
      <c r="N724" s="33"/>
      <c r="O724" s="33"/>
      <c r="P724" s="33"/>
      <c r="Q724" s="33"/>
    </row>
    <row r="725" ht="13.5" customHeight="1">
      <c r="N725" s="33"/>
      <c r="O725" s="33"/>
      <c r="P725" s="33"/>
      <c r="Q725" s="33"/>
    </row>
    <row r="726" ht="13.5" customHeight="1">
      <c r="N726" s="33"/>
      <c r="O726" s="33"/>
      <c r="P726" s="33"/>
      <c r="Q726" s="33"/>
    </row>
    <row r="727" ht="13.5" customHeight="1">
      <c r="N727" s="33"/>
      <c r="O727" s="33"/>
      <c r="P727" s="33"/>
      <c r="Q727" s="33"/>
    </row>
    <row r="728" ht="13.5" customHeight="1">
      <c r="N728" s="33"/>
      <c r="O728" s="33"/>
      <c r="P728" s="33"/>
      <c r="Q728" s="33"/>
    </row>
    <row r="729" ht="13.5" customHeight="1">
      <c r="N729" s="33"/>
      <c r="O729" s="33"/>
      <c r="P729" s="33"/>
      <c r="Q729" s="33"/>
    </row>
    <row r="730" ht="13.5" customHeight="1">
      <c r="N730" s="33"/>
      <c r="O730" s="33"/>
      <c r="P730" s="33"/>
      <c r="Q730" s="33"/>
    </row>
    <row r="731" ht="13.5" customHeight="1">
      <c r="N731" s="33"/>
      <c r="O731" s="33"/>
      <c r="P731" s="33"/>
      <c r="Q731" s="33"/>
    </row>
    <row r="732" ht="13.5" customHeight="1">
      <c r="N732" s="33"/>
      <c r="O732" s="33"/>
      <c r="P732" s="33"/>
      <c r="Q732" s="33"/>
    </row>
    <row r="733" ht="13.5" customHeight="1">
      <c r="N733" s="33"/>
      <c r="O733" s="33"/>
      <c r="P733" s="33"/>
      <c r="Q733" s="33"/>
    </row>
    <row r="734" ht="13.5" customHeight="1">
      <c r="N734" s="33"/>
      <c r="O734" s="33"/>
      <c r="P734" s="33"/>
      <c r="Q734" s="33"/>
    </row>
    <row r="735" ht="13.5" customHeight="1">
      <c r="N735" s="33"/>
      <c r="O735" s="33"/>
      <c r="P735" s="33"/>
      <c r="Q735" s="33"/>
    </row>
    <row r="736" ht="13.5" customHeight="1">
      <c r="N736" s="33"/>
      <c r="O736" s="33"/>
      <c r="P736" s="33"/>
      <c r="Q736" s="33"/>
    </row>
    <row r="737" ht="13.5" customHeight="1">
      <c r="N737" s="33"/>
      <c r="O737" s="33"/>
      <c r="P737" s="33"/>
      <c r="Q737" s="33"/>
    </row>
    <row r="738" ht="13.5" customHeight="1">
      <c r="N738" s="33"/>
      <c r="O738" s="33"/>
      <c r="P738" s="33"/>
      <c r="Q738" s="33"/>
    </row>
    <row r="739" ht="13.5" customHeight="1">
      <c r="N739" s="33"/>
      <c r="O739" s="33"/>
      <c r="P739" s="33"/>
      <c r="Q739" s="33"/>
    </row>
    <row r="740" ht="13.5" customHeight="1">
      <c r="N740" s="33"/>
      <c r="O740" s="33"/>
      <c r="P740" s="33"/>
      <c r="Q740" s="33"/>
    </row>
    <row r="741" ht="13.5" customHeight="1">
      <c r="N741" s="33"/>
      <c r="O741" s="33"/>
      <c r="P741" s="33"/>
      <c r="Q741" s="33"/>
    </row>
    <row r="742" ht="13.5" customHeight="1">
      <c r="N742" s="33"/>
      <c r="O742" s="33"/>
      <c r="P742" s="33"/>
      <c r="Q742" s="33"/>
    </row>
    <row r="743" ht="13.5" customHeight="1">
      <c r="N743" s="33"/>
      <c r="O743" s="33"/>
      <c r="P743" s="33"/>
      <c r="Q743" s="33"/>
    </row>
    <row r="744" ht="13.5" customHeight="1">
      <c r="N744" s="33"/>
      <c r="O744" s="33"/>
      <c r="P744" s="33"/>
      <c r="Q744" s="33"/>
    </row>
    <row r="745" ht="13.5" customHeight="1">
      <c r="N745" s="33"/>
      <c r="O745" s="33"/>
      <c r="P745" s="33"/>
      <c r="Q745" s="33"/>
    </row>
    <row r="746" ht="13.5" customHeight="1">
      <c r="N746" s="33"/>
      <c r="O746" s="33"/>
      <c r="P746" s="33"/>
      <c r="Q746" s="33"/>
    </row>
    <row r="747" ht="13.5" customHeight="1">
      <c r="N747" s="33"/>
      <c r="O747" s="33"/>
      <c r="P747" s="33"/>
      <c r="Q747" s="33"/>
    </row>
    <row r="748" ht="13.5" customHeight="1">
      <c r="N748" s="33"/>
      <c r="O748" s="33"/>
      <c r="P748" s="33"/>
      <c r="Q748" s="33"/>
    </row>
    <row r="749" ht="13.5" customHeight="1">
      <c r="N749" s="33"/>
      <c r="O749" s="33"/>
      <c r="P749" s="33"/>
      <c r="Q749" s="33"/>
    </row>
    <row r="750" ht="13.5" customHeight="1">
      <c r="N750" s="33"/>
      <c r="O750" s="33"/>
      <c r="P750" s="33"/>
      <c r="Q750" s="33"/>
    </row>
    <row r="751" ht="13.5" customHeight="1">
      <c r="N751" s="33"/>
      <c r="O751" s="33"/>
      <c r="P751" s="33"/>
      <c r="Q751" s="33"/>
    </row>
    <row r="752" ht="13.5" customHeight="1">
      <c r="N752" s="33"/>
      <c r="O752" s="33"/>
      <c r="P752" s="33"/>
      <c r="Q752" s="33"/>
    </row>
    <row r="753" ht="13.5" customHeight="1">
      <c r="N753" s="33"/>
      <c r="O753" s="33"/>
      <c r="P753" s="33"/>
      <c r="Q753" s="33"/>
    </row>
    <row r="754" ht="13.5" customHeight="1">
      <c r="N754" s="33"/>
      <c r="O754" s="33"/>
      <c r="P754" s="33"/>
      <c r="Q754" s="33"/>
    </row>
    <row r="755" ht="13.5" customHeight="1">
      <c r="N755" s="33"/>
      <c r="O755" s="33"/>
      <c r="P755" s="33"/>
      <c r="Q755" s="33"/>
    </row>
    <row r="756" ht="13.5" customHeight="1">
      <c r="N756" s="33"/>
      <c r="O756" s="33"/>
      <c r="P756" s="33"/>
      <c r="Q756" s="33"/>
    </row>
    <row r="757" ht="13.5" customHeight="1">
      <c r="N757" s="33"/>
      <c r="O757" s="33"/>
      <c r="P757" s="33"/>
      <c r="Q757" s="33"/>
    </row>
    <row r="758" ht="13.5" customHeight="1">
      <c r="N758" s="33"/>
      <c r="O758" s="33"/>
      <c r="P758" s="33"/>
      <c r="Q758" s="33"/>
    </row>
    <row r="759" ht="13.5" customHeight="1">
      <c r="N759" s="33"/>
      <c r="O759" s="33"/>
      <c r="P759" s="33"/>
      <c r="Q759" s="33"/>
    </row>
    <row r="760" ht="13.5" customHeight="1">
      <c r="N760" s="33"/>
      <c r="O760" s="33"/>
      <c r="P760" s="33"/>
      <c r="Q760" s="33"/>
    </row>
    <row r="761" ht="13.5" customHeight="1">
      <c r="N761" s="33"/>
      <c r="O761" s="33"/>
      <c r="P761" s="33"/>
      <c r="Q761" s="33"/>
    </row>
    <row r="762" ht="13.5" customHeight="1">
      <c r="N762" s="33"/>
      <c r="O762" s="33"/>
      <c r="P762" s="33"/>
      <c r="Q762" s="33"/>
    </row>
    <row r="763" ht="13.5" customHeight="1">
      <c r="N763" s="33"/>
      <c r="O763" s="33"/>
      <c r="P763" s="33"/>
      <c r="Q763" s="33"/>
    </row>
    <row r="764" ht="13.5" customHeight="1">
      <c r="N764" s="33"/>
      <c r="O764" s="33"/>
      <c r="P764" s="33"/>
      <c r="Q764" s="33"/>
    </row>
    <row r="765" ht="13.5" customHeight="1">
      <c r="N765" s="33"/>
      <c r="O765" s="33"/>
      <c r="P765" s="33"/>
      <c r="Q765" s="33"/>
    </row>
    <row r="766" ht="13.5" customHeight="1">
      <c r="N766" s="33"/>
      <c r="O766" s="33"/>
      <c r="P766" s="33"/>
      <c r="Q766" s="33"/>
    </row>
    <row r="767" ht="13.5" customHeight="1">
      <c r="N767" s="33"/>
      <c r="O767" s="33"/>
      <c r="P767" s="33"/>
      <c r="Q767" s="33"/>
    </row>
    <row r="768" ht="13.5" customHeight="1">
      <c r="N768" s="33"/>
      <c r="O768" s="33"/>
      <c r="P768" s="33"/>
      <c r="Q768" s="33"/>
    </row>
    <row r="769" ht="13.5" customHeight="1">
      <c r="N769" s="33"/>
      <c r="O769" s="33"/>
      <c r="P769" s="33"/>
      <c r="Q769" s="33"/>
    </row>
    <row r="770" ht="13.5" customHeight="1">
      <c r="N770" s="33"/>
      <c r="O770" s="33"/>
      <c r="P770" s="33"/>
      <c r="Q770" s="33"/>
    </row>
    <row r="771" ht="13.5" customHeight="1">
      <c r="N771" s="33"/>
      <c r="O771" s="33"/>
      <c r="P771" s="33"/>
      <c r="Q771" s="33"/>
    </row>
    <row r="772" ht="13.5" customHeight="1">
      <c r="N772" s="33"/>
      <c r="O772" s="33"/>
      <c r="P772" s="33"/>
      <c r="Q772" s="33"/>
    </row>
    <row r="773" ht="13.5" customHeight="1">
      <c r="N773" s="33"/>
      <c r="O773" s="33"/>
      <c r="P773" s="33"/>
      <c r="Q773" s="33"/>
    </row>
    <row r="774" ht="13.5" customHeight="1">
      <c r="N774" s="33"/>
      <c r="O774" s="33"/>
      <c r="P774" s="33"/>
      <c r="Q774" s="33"/>
    </row>
    <row r="775" ht="13.5" customHeight="1">
      <c r="N775" s="33"/>
      <c r="O775" s="33"/>
      <c r="P775" s="33"/>
      <c r="Q775" s="33"/>
    </row>
    <row r="776" ht="13.5" customHeight="1">
      <c r="N776" s="33"/>
      <c r="O776" s="33"/>
      <c r="P776" s="33"/>
      <c r="Q776" s="33"/>
    </row>
    <row r="777" ht="13.5" customHeight="1">
      <c r="N777" s="33"/>
      <c r="O777" s="33"/>
      <c r="P777" s="33"/>
      <c r="Q777" s="33"/>
    </row>
    <row r="778" ht="13.5" customHeight="1">
      <c r="N778" s="33"/>
      <c r="O778" s="33"/>
      <c r="P778" s="33"/>
      <c r="Q778" s="33"/>
    </row>
    <row r="779" ht="13.5" customHeight="1">
      <c r="N779" s="33"/>
      <c r="O779" s="33"/>
      <c r="P779" s="33"/>
      <c r="Q779" s="33"/>
    </row>
    <row r="780" ht="13.5" customHeight="1">
      <c r="N780" s="33"/>
      <c r="O780" s="33"/>
      <c r="P780" s="33"/>
      <c r="Q780" s="33"/>
    </row>
    <row r="781" ht="13.5" customHeight="1">
      <c r="N781" s="33"/>
      <c r="O781" s="33"/>
      <c r="P781" s="33"/>
      <c r="Q781" s="33"/>
    </row>
    <row r="782" ht="13.5" customHeight="1">
      <c r="N782" s="33"/>
      <c r="O782" s="33"/>
      <c r="P782" s="33"/>
      <c r="Q782" s="33"/>
    </row>
    <row r="783" ht="13.5" customHeight="1">
      <c r="N783" s="33"/>
      <c r="O783" s="33"/>
      <c r="P783" s="33"/>
      <c r="Q783" s="33"/>
    </row>
    <row r="784" ht="13.5" customHeight="1">
      <c r="N784" s="33"/>
      <c r="O784" s="33"/>
      <c r="P784" s="33"/>
      <c r="Q784" s="33"/>
    </row>
    <row r="785" ht="13.5" customHeight="1">
      <c r="N785" s="33"/>
      <c r="O785" s="33"/>
      <c r="P785" s="33"/>
      <c r="Q785" s="33"/>
    </row>
    <row r="786" ht="13.5" customHeight="1">
      <c r="N786" s="33"/>
      <c r="O786" s="33"/>
      <c r="P786" s="33"/>
      <c r="Q786" s="33"/>
    </row>
    <row r="787" ht="13.5" customHeight="1">
      <c r="N787" s="33"/>
      <c r="O787" s="33"/>
      <c r="P787" s="33"/>
      <c r="Q787" s="33"/>
    </row>
    <row r="788" ht="13.5" customHeight="1">
      <c r="N788" s="33"/>
      <c r="O788" s="33"/>
      <c r="P788" s="33"/>
      <c r="Q788" s="33"/>
    </row>
    <row r="789" ht="13.5" customHeight="1">
      <c r="N789" s="33"/>
      <c r="O789" s="33"/>
      <c r="P789" s="33"/>
      <c r="Q789" s="33"/>
    </row>
    <row r="790" ht="13.5" customHeight="1">
      <c r="N790" s="33"/>
      <c r="O790" s="33"/>
      <c r="P790" s="33"/>
      <c r="Q790" s="33"/>
    </row>
    <row r="791" ht="13.5" customHeight="1">
      <c r="N791" s="33"/>
      <c r="O791" s="33"/>
      <c r="P791" s="33"/>
      <c r="Q791" s="33"/>
    </row>
    <row r="792" ht="13.5" customHeight="1">
      <c r="N792" s="33"/>
      <c r="O792" s="33"/>
      <c r="P792" s="33"/>
      <c r="Q792" s="33"/>
    </row>
    <row r="793" ht="13.5" customHeight="1">
      <c r="N793" s="33"/>
      <c r="O793" s="33"/>
      <c r="P793" s="33"/>
      <c r="Q793" s="33"/>
    </row>
    <row r="794" ht="13.5" customHeight="1">
      <c r="N794" s="33"/>
      <c r="O794" s="33"/>
      <c r="P794" s="33"/>
      <c r="Q794" s="33"/>
    </row>
    <row r="795" ht="13.5" customHeight="1">
      <c r="N795" s="33"/>
      <c r="O795" s="33"/>
      <c r="P795" s="33"/>
      <c r="Q795" s="33"/>
    </row>
    <row r="796" ht="13.5" customHeight="1">
      <c r="N796" s="33"/>
      <c r="O796" s="33"/>
      <c r="P796" s="33"/>
      <c r="Q796" s="33"/>
    </row>
    <row r="797" ht="13.5" customHeight="1">
      <c r="N797" s="33"/>
      <c r="O797" s="33"/>
      <c r="P797" s="33"/>
      <c r="Q797" s="33"/>
    </row>
    <row r="798" ht="13.5" customHeight="1">
      <c r="N798" s="33"/>
      <c r="O798" s="33"/>
      <c r="P798" s="33"/>
      <c r="Q798" s="33"/>
    </row>
    <row r="799" ht="13.5" customHeight="1">
      <c r="N799" s="33"/>
      <c r="O799" s="33"/>
      <c r="P799" s="33"/>
      <c r="Q799" s="33"/>
    </row>
    <row r="800" ht="13.5" customHeight="1">
      <c r="N800" s="33"/>
      <c r="O800" s="33"/>
      <c r="P800" s="33"/>
      <c r="Q800" s="33"/>
    </row>
    <row r="801" ht="13.5" customHeight="1">
      <c r="N801" s="33"/>
      <c r="O801" s="33"/>
      <c r="P801" s="33"/>
      <c r="Q801" s="33"/>
    </row>
    <row r="802" ht="13.5" customHeight="1">
      <c r="N802" s="33"/>
      <c r="O802" s="33"/>
      <c r="P802" s="33"/>
      <c r="Q802" s="33"/>
    </row>
    <row r="803" ht="13.5" customHeight="1">
      <c r="N803" s="33"/>
      <c r="O803" s="33"/>
      <c r="P803" s="33"/>
      <c r="Q803" s="33"/>
    </row>
    <row r="804" ht="13.5" customHeight="1">
      <c r="N804" s="33"/>
      <c r="O804" s="33"/>
      <c r="P804" s="33"/>
      <c r="Q804" s="33"/>
    </row>
    <row r="805" ht="13.5" customHeight="1">
      <c r="N805" s="33"/>
      <c r="O805" s="33"/>
      <c r="P805" s="33"/>
      <c r="Q805" s="33"/>
    </row>
    <row r="806" ht="13.5" customHeight="1">
      <c r="N806" s="33"/>
      <c r="O806" s="33"/>
      <c r="P806" s="33"/>
      <c r="Q806" s="33"/>
    </row>
    <row r="807" ht="13.5" customHeight="1">
      <c r="N807" s="33"/>
      <c r="O807" s="33"/>
      <c r="P807" s="33"/>
      <c r="Q807" s="33"/>
    </row>
    <row r="808" ht="13.5" customHeight="1">
      <c r="N808" s="33"/>
      <c r="O808" s="33"/>
      <c r="P808" s="33"/>
      <c r="Q808" s="33"/>
    </row>
    <row r="809" ht="13.5" customHeight="1">
      <c r="N809" s="33"/>
      <c r="O809" s="33"/>
      <c r="P809" s="33"/>
      <c r="Q809" s="33"/>
    </row>
    <row r="810" ht="13.5" customHeight="1">
      <c r="N810" s="33"/>
      <c r="O810" s="33"/>
      <c r="P810" s="33"/>
      <c r="Q810" s="33"/>
    </row>
    <row r="811" ht="13.5" customHeight="1">
      <c r="N811" s="33"/>
      <c r="O811" s="33"/>
      <c r="P811" s="33"/>
      <c r="Q811" s="33"/>
    </row>
    <row r="812" ht="13.5" customHeight="1">
      <c r="N812" s="33"/>
      <c r="O812" s="33"/>
      <c r="P812" s="33"/>
      <c r="Q812" s="33"/>
    </row>
    <row r="813" ht="13.5" customHeight="1">
      <c r="N813" s="33"/>
      <c r="O813" s="33"/>
      <c r="P813" s="33"/>
      <c r="Q813" s="33"/>
    </row>
    <row r="814" ht="13.5" customHeight="1">
      <c r="N814" s="33"/>
      <c r="O814" s="33"/>
      <c r="P814" s="33"/>
      <c r="Q814" s="33"/>
    </row>
    <row r="815" ht="13.5" customHeight="1">
      <c r="N815" s="33"/>
      <c r="O815" s="33"/>
      <c r="P815" s="33"/>
      <c r="Q815" s="33"/>
    </row>
    <row r="816" ht="13.5" customHeight="1">
      <c r="N816" s="33"/>
      <c r="O816" s="33"/>
      <c r="P816" s="33"/>
      <c r="Q816" s="33"/>
    </row>
    <row r="817" ht="13.5" customHeight="1">
      <c r="N817" s="33"/>
      <c r="O817" s="33"/>
      <c r="P817" s="33"/>
      <c r="Q817" s="33"/>
    </row>
    <row r="818" ht="13.5" customHeight="1">
      <c r="N818" s="33"/>
      <c r="O818" s="33"/>
      <c r="P818" s="33"/>
      <c r="Q818" s="33"/>
    </row>
    <row r="819" ht="13.5" customHeight="1">
      <c r="N819" s="33"/>
      <c r="O819" s="33"/>
      <c r="P819" s="33"/>
      <c r="Q819" s="33"/>
    </row>
    <row r="820" ht="13.5" customHeight="1">
      <c r="N820" s="33"/>
      <c r="O820" s="33"/>
      <c r="P820" s="33"/>
      <c r="Q820" s="33"/>
    </row>
    <row r="821" ht="13.5" customHeight="1">
      <c r="N821" s="33"/>
      <c r="O821" s="33"/>
      <c r="P821" s="33"/>
      <c r="Q821" s="33"/>
    </row>
    <row r="822" ht="13.5" customHeight="1">
      <c r="N822" s="33"/>
      <c r="O822" s="33"/>
      <c r="P822" s="33"/>
      <c r="Q822" s="33"/>
    </row>
    <row r="823" ht="13.5" customHeight="1">
      <c r="N823" s="33"/>
      <c r="O823" s="33"/>
      <c r="P823" s="33"/>
      <c r="Q823" s="33"/>
    </row>
    <row r="824" ht="13.5" customHeight="1">
      <c r="N824" s="33"/>
      <c r="O824" s="33"/>
      <c r="P824" s="33"/>
      <c r="Q824" s="33"/>
    </row>
    <row r="825" ht="13.5" customHeight="1">
      <c r="N825" s="33"/>
      <c r="O825" s="33"/>
      <c r="P825" s="33"/>
      <c r="Q825" s="33"/>
    </row>
    <row r="826" ht="13.5" customHeight="1">
      <c r="N826" s="33"/>
      <c r="O826" s="33"/>
      <c r="P826" s="33"/>
      <c r="Q826" s="33"/>
    </row>
    <row r="827" ht="13.5" customHeight="1">
      <c r="N827" s="33"/>
      <c r="O827" s="33"/>
      <c r="P827" s="33"/>
      <c r="Q827" s="33"/>
    </row>
    <row r="828" ht="13.5" customHeight="1">
      <c r="N828" s="33"/>
      <c r="O828" s="33"/>
      <c r="P828" s="33"/>
      <c r="Q828" s="33"/>
    </row>
    <row r="829" ht="13.5" customHeight="1">
      <c r="N829" s="33"/>
      <c r="O829" s="33"/>
      <c r="P829" s="33"/>
      <c r="Q829" s="33"/>
    </row>
    <row r="830" ht="13.5" customHeight="1">
      <c r="N830" s="33"/>
      <c r="O830" s="33"/>
      <c r="P830" s="33"/>
      <c r="Q830" s="33"/>
    </row>
    <row r="831" ht="13.5" customHeight="1">
      <c r="N831" s="33"/>
      <c r="O831" s="33"/>
      <c r="P831" s="33"/>
      <c r="Q831" s="33"/>
    </row>
    <row r="832" ht="13.5" customHeight="1">
      <c r="N832" s="33"/>
      <c r="O832" s="33"/>
      <c r="P832" s="33"/>
      <c r="Q832" s="33"/>
    </row>
    <row r="833" ht="13.5" customHeight="1">
      <c r="N833" s="33"/>
      <c r="O833" s="33"/>
      <c r="P833" s="33"/>
      <c r="Q833" s="33"/>
    </row>
    <row r="834" ht="13.5" customHeight="1">
      <c r="N834" s="33"/>
      <c r="O834" s="33"/>
      <c r="P834" s="33"/>
      <c r="Q834" s="33"/>
    </row>
    <row r="835" ht="13.5" customHeight="1">
      <c r="N835" s="33"/>
      <c r="O835" s="33"/>
      <c r="P835" s="33"/>
      <c r="Q835" s="33"/>
    </row>
    <row r="836" ht="13.5" customHeight="1">
      <c r="N836" s="33"/>
      <c r="O836" s="33"/>
      <c r="P836" s="33"/>
      <c r="Q836" s="33"/>
    </row>
    <row r="837" ht="13.5" customHeight="1">
      <c r="N837" s="33"/>
      <c r="O837" s="33"/>
      <c r="P837" s="33"/>
      <c r="Q837" s="33"/>
    </row>
    <row r="838" ht="13.5" customHeight="1">
      <c r="N838" s="33"/>
      <c r="O838" s="33"/>
      <c r="P838" s="33"/>
      <c r="Q838" s="33"/>
    </row>
    <row r="839" ht="13.5" customHeight="1">
      <c r="N839" s="33"/>
      <c r="O839" s="33"/>
      <c r="P839" s="33"/>
      <c r="Q839" s="33"/>
    </row>
    <row r="840" ht="13.5" customHeight="1">
      <c r="N840" s="33"/>
      <c r="O840" s="33"/>
      <c r="P840" s="33"/>
      <c r="Q840" s="33"/>
    </row>
    <row r="841" ht="13.5" customHeight="1">
      <c r="N841" s="33"/>
      <c r="O841" s="33"/>
      <c r="P841" s="33"/>
      <c r="Q841" s="33"/>
    </row>
    <row r="842" ht="13.5" customHeight="1">
      <c r="N842" s="33"/>
      <c r="O842" s="33"/>
      <c r="P842" s="33"/>
      <c r="Q842" s="33"/>
    </row>
    <row r="843" ht="13.5" customHeight="1">
      <c r="N843" s="33"/>
      <c r="O843" s="33"/>
      <c r="P843" s="33"/>
      <c r="Q843" s="33"/>
    </row>
    <row r="844" ht="13.5" customHeight="1">
      <c r="N844" s="33"/>
      <c r="O844" s="33"/>
      <c r="P844" s="33"/>
      <c r="Q844" s="33"/>
    </row>
    <row r="845" ht="13.5" customHeight="1">
      <c r="N845" s="33"/>
      <c r="O845" s="33"/>
      <c r="P845" s="33"/>
      <c r="Q845" s="33"/>
    </row>
    <row r="846" ht="13.5" customHeight="1">
      <c r="N846" s="33"/>
      <c r="O846" s="33"/>
      <c r="P846" s="33"/>
      <c r="Q846" s="33"/>
    </row>
    <row r="847" ht="13.5" customHeight="1">
      <c r="N847" s="33"/>
      <c r="O847" s="33"/>
      <c r="P847" s="33"/>
      <c r="Q847" s="33"/>
    </row>
    <row r="848" ht="13.5" customHeight="1">
      <c r="N848" s="33"/>
      <c r="O848" s="33"/>
      <c r="P848" s="33"/>
      <c r="Q848" s="33"/>
    </row>
    <row r="849" ht="13.5" customHeight="1">
      <c r="N849" s="33"/>
      <c r="O849" s="33"/>
      <c r="P849" s="33"/>
      <c r="Q849" s="33"/>
    </row>
    <row r="850" ht="13.5" customHeight="1">
      <c r="N850" s="33"/>
      <c r="O850" s="33"/>
      <c r="P850" s="33"/>
      <c r="Q850" s="33"/>
    </row>
    <row r="851" ht="13.5" customHeight="1">
      <c r="N851" s="33"/>
      <c r="O851" s="33"/>
      <c r="P851" s="33"/>
      <c r="Q851" s="33"/>
    </row>
    <row r="852" ht="13.5" customHeight="1">
      <c r="N852" s="33"/>
      <c r="O852" s="33"/>
      <c r="P852" s="33"/>
      <c r="Q852" s="33"/>
    </row>
    <row r="853" ht="13.5" customHeight="1">
      <c r="N853" s="33"/>
      <c r="O853" s="33"/>
      <c r="P853" s="33"/>
      <c r="Q853" s="33"/>
    </row>
    <row r="854" ht="13.5" customHeight="1">
      <c r="N854" s="33"/>
      <c r="O854" s="33"/>
      <c r="P854" s="33"/>
      <c r="Q854" s="33"/>
    </row>
    <row r="855" ht="13.5" customHeight="1">
      <c r="N855" s="33"/>
      <c r="O855" s="33"/>
      <c r="P855" s="33"/>
      <c r="Q855" s="33"/>
    </row>
    <row r="856" ht="13.5" customHeight="1">
      <c r="N856" s="33"/>
      <c r="O856" s="33"/>
      <c r="P856" s="33"/>
      <c r="Q856" s="33"/>
    </row>
    <row r="857" ht="13.5" customHeight="1">
      <c r="N857" s="33"/>
      <c r="O857" s="33"/>
      <c r="P857" s="33"/>
      <c r="Q857" s="33"/>
    </row>
    <row r="858" ht="13.5" customHeight="1">
      <c r="N858" s="33"/>
      <c r="O858" s="33"/>
      <c r="P858" s="33"/>
      <c r="Q858" s="33"/>
    </row>
    <row r="859" ht="13.5" customHeight="1">
      <c r="N859" s="33"/>
      <c r="O859" s="33"/>
      <c r="P859" s="33"/>
      <c r="Q859" s="33"/>
    </row>
    <row r="860" ht="13.5" customHeight="1">
      <c r="N860" s="33"/>
      <c r="O860" s="33"/>
      <c r="P860" s="33"/>
      <c r="Q860" s="33"/>
    </row>
    <row r="861" ht="13.5" customHeight="1">
      <c r="N861" s="33"/>
      <c r="O861" s="33"/>
      <c r="P861" s="33"/>
      <c r="Q861" s="33"/>
    </row>
    <row r="862" ht="13.5" customHeight="1">
      <c r="N862" s="33"/>
      <c r="O862" s="33"/>
      <c r="P862" s="33"/>
      <c r="Q862" s="33"/>
    </row>
    <row r="863" ht="13.5" customHeight="1">
      <c r="N863" s="33"/>
      <c r="O863" s="33"/>
      <c r="P863" s="33"/>
      <c r="Q863" s="33"/>
    </row>
    <row r="864" ht="13.5" customHeight="1">
      <c r="N864" s="33"/>
      <c r="O864" s="33"/>
      <c r="P864" s="33"/>
      <c r="Q864" s="33"/>
    </row>
    <row r="865" ht="13.5" customHeight="1">
      <c r="N865" s="33"/>
      <c r="O865" s="33"/>
      <c r="P865" s="33"/>
      <c r="Q865" s="33"/>
    </row>
    <row r="866" ht="13.5" customHeight="1">
      <c r="N866" s="33"/>
      <c r="O866" s="33"/>
      <c r="P866" s="33"/>
      <c r="Q866" s="33"/>
    </row>
    <row r="867" ht="13.5" customHeight="1">
      <c r="N867" s="33"/>
      <c r="O867" s="33"/>
      <c r="P867" s="33"/>
      <c r="Q867" s="33"/>
    </row>
    <row r="868" ht="13.5" customHeight="1">
      <c r="N868" s="33"/>
      <c r="O868" s="33"/>
      <c r="P868" s="33"/>
      <c r="Q868" s="33"/>
    </row>
    <row r="869" ht="13.5" customHeight="1">
      <c r="N869" s="33"/>
      <c r="O869" s="33"/>
      <c r="P869" s="33"/>
      <c r="Q869" s="33"/>
    </row>
    <row r="870" ht="13.5" customHeight="1">
      <c r="N870" s="33"/>
      <c r="O870" s="33"/>
      <c r="P870" s="33"/>
      <c r="Q870" s="33"/>
    </row>
    <row r="871" ht="13.5" customHeight="1">
      <c r="N871" s="33"/>
      <c r="O871" s="33"/>
      <c r="P871" s="33"/>
      <c r="Q871" s="33"/>
    </row>
    <row r="872" ht="13.5" customHeight="1">
      <c r="N872" s="33"/>
      <c r="O872" s="33"/>
      <c r="P872" s="33"/>
      <c r="Q872" s="33"/>
    </row>
    <row r="873" ht="13.5" customHeight="1">
      <c r="N873" s="33"/>
      <c r="O873" s="33"/>
      <c r="P873" s="33"/>
      <c r="Q873" s="33"/>
    </row>
    <row r="874" ht="13.5" customHeight="1">
      <c r="N874" s="33"/>
      <c r="O874" s="33"/>
      <c r="P874" s="33"/>
      <c r="Q874" s="33"/>
    </row>
    <row r="875" ht="13.5" customHeight="1">
      <c r="N875" s="33"/>
      <c r="O875" s="33"/>
      <c r="P875" s="33"/>
      <c r="Q875" s="33"/>
    </row>
    <row r="876" ht="13.5" customHeight="1">
      <c r="N876" s="33"/>
      <c r="O876" s="33"/>
      <c r="P876" s="33"/>
      <c r="Q876" s="33"/>
    </row>
    <row r="877" ht="13.5" customHeight="1">
      <c r="N877" s="33"/>
      <c r="O877" s="33"/>
      <c r="P877" s="33"/>
      <c r="Q877" s="33"/>
    </row>
    <row r="878" ht="13.5" customHeight="1">
      <c r="N878" s="33"/>
      <c r="O878" s="33"/>
      <c r="P878" s="33"/>
      <c r="Q878" s="33"/>
    </row>
    <row r="879" ht="13.5" customHeight="1">
      <c r="N879" s="33"/>
      <c r="O879" s="33"/>
      <c r="P879" s="33"/>
      <c r="Q879" s="33"/>
    </row>
    <row r="880" ht="13.5" customHeight="1">
      <c r="N880" s="33"/>
      <c r="O880" s="33"/>
      <c r="P880" s="33"/>
      <c r="Q880" s="33"/>
    </row>
    <row r="881" ht="13.5" customHeight="1">
      <c r="N881" s="33"/>
      <c r="O881" s="33"/>
      <c r="P881" s="33"/>
      <c r="Q881" s="33"/>
    </row>
    <row r="882" ht="13.5" customHeight="1">
      <c r="N882" s="33"/>
      <c r="O882" s="33"/>
      <c r="P882" s="33"/>
      <c r="Q882" s="33"/>
    </row>
    <row r="883" ht="13.5" customHeight="1">
      <c r="N883" s="33"/>
      <c r="O883" s="33"/>
      <c r="P883" s="33"/>
      <c r="Q883" s="33"/>
    </row>
    <row r="884" ht="13.5" customHeight="1">
      <c r="N884" s="33"/>
      <c r="O884" s="33"/>
      <c r="P884" s="33"/>
      <c r="Q884" s="33"/>
    </row>
    <row r="885" ht="13.5" customHeight="1">
      <c r="N885" s="33"/>
      <c r="O885" s="33"/>
      <c r="P885" s="33"/>
      <c r="Q885" s="33"/>
    </row>
    <row r="886" ht="13.5" customHeight="1">
      <c r="N886" s="33"/>
      <c r="O886" s="33"/>
      <c r="P886" s="33"/>
      <c r="Q886" s="33"/>
    </row>
    <row r="887" ht="13.5" customHeight="1">
      <c r="N887" s="33"/>
      <c r="O887" s="33"/>
      <c r="P887" s="33"/>
      <c r="Q887" s="33"/>
    </row>
    <row r="888" ht="13.5" customHeight="1">
      <c r="N888" s="33"/>
      <c r="O888" s="33"/>
      <c r="P888" s="33"/>
      <c r="Q888" s="33"/>
    </row>
    <row r="889" ht="13.5" customHeight="1">
      <c r="N889" s="33"/>
      <c r="O889" s="33"/>
      <c r="P889" s="33"/>
      <c r="Q889" s="33"/>
    </row>
    <row r="890" ht="13.5" customHeight="1">
      <c r="N890" s="33"/>
      <c r="O890" s="33"/>
      <c r="P890" s="33"/>
      <c r="Q890" s="33"/>
    </row>
    <row r="891" ht="13.5" customHeight="1">
      <c r="N891" s="33"/>
      <c r="O891" s="33"/>
      <c r="P891" s="33"/>
      <c r="Q891" s="33"/>
    </row>
    <row r="892" ht="13.5" customHeight="1">
      <c r="N892" s="33"/>
      <c r="O892" s="33"/>
      <c r="P892" s="33"/>
      <c r="Q892" s="33"/>
    </row>
    <row r="893" ht="13.5" customHeight="1">
      <c r="N893" s="33"/>
      <c r="O893" s="33"/>
      <c r="P893" s="33"/>
      <c r="Q893" s="33"/>
    </row>
    <row r="894" ht="13.5" customHeight="1">
      <c r="N894" s="33"/>
      <c r="O894" s="33"/>
      <c r="P894" s="33"/>
      <c r="Q894" s="33"/>
    </row>
    <row r="895" ht="13.5" customHeight="1">
      <c r="N895" s="33"/>
      <c r="O895" s="33"/>
      <c r="P895" s="33"/>
      <c r="Q895" s="33"/>
    </row>
    <row r="896" ht="13.5" customHeight="1">
      <c r="N896" s="33"/>
      <c r="O896" s="33"/>
      <c r="P896" s="33"/>
      <c r="Q896" s="33"/>
    </row>
    <row r="897" ht="13.5" customHeight="1">
      <c r="N897" s="33"/>
      <c r="O897" s="33"/>
      <c r="P897" s="33"/>
      <c r="Q897" s="33"/>
    </row>
    <row r="898" ht="13.5" customHeight="1">
      <c r="N898" s="33"/>
      <c r="O898" s="33"/>
      <c r="P898" s="33"/>
      <c r="Q898" s="33"/>
    </row>
    <row r="899" ht="13.5" customHeight="1">
      <c r="N899" s="33"/>
      <c r="O899" s="33"/>
      <c r="P899" s="33"/>
      <c r="Q899" s="33"/>
    </row>
    <row r="900" ht="13.5" customHeight="1">
      <c r="N900" s="33"/>
      <c r="O900" s="33"/>
      <c r="P900" s="33"/>
      <c r="Q900" s="33"/>
    </row>
    <row r="901" ht="13.5" customHeight="1">
      <c r="N901" s="33"/>
      <c r="O901" s="33"/>
      <c r="P901" s="33"/>
      <c r="Q901" s="33"/>
    </row>
    <row r="902" ht="13.5" customHeight="1">
      <c r="N902" s="33"/>
      <c r="O902" s="33"/>
      <c r="P902" s="33"/>
      <c r="Q902" s="33"/>
    </row>
    <row r="903" ht="13.5" customHeight="1">
      <c r="N903" s="33"/>
      <c r="O903" s="33"/>
      <c r="P903" s="33"/>
      <c r="Q903" s="33"/>
    </row>
    <row r="904" ht="13.5" customHeight="1">
      <c r="N904" s="33"/>
      <c r="O904" s="33"/>
      <c r="P904" s="33"/>
      <c r="Q904" s="33"/>
    </row>
    <row r="905" ht="13.5" customHeight="1">
      <c r="N905" s="33"/>
      <c r="O905" s="33"/>
      <c r="P905" s="33"/>
      <c r="Q905" s="33"/>
    </row>
    <row r="906" ht="13.5" customHeight="1">
      <c r="N906" s="33"/>
      <c r="O906" s="33"/>
      <c r="P906" s="33"/>
      <c r="Q906" s="33"/>
    </row>
    <row r="907" ht="13.5" customHeight="1">
      <c r="N907" s="33"/>
      <c r="O907" s="33"/>
      <c r="P907" s="33"/>
      <c r="Q907" s="33"/>
    </row>
    <row r="908" ht="13.5" customHeight="1">
      <c r="N908" s="33"/>
      <c r="O908" s="33"/>
      <c r="P908" s="33"/>
      <c r="Q908" s="33"/>
    </row>
    <row r="909" ht="13.5" customHeight="1">
      <c r="N909" s="33"/>
      <c r="O909" s="33"/>
      <c r="P909" s="33"/>
      <c r="Q909" s="33"/>
    </row>
    <row r="910" ht="13.5" customHeight="1">
      <c r="N910" s="33"/>
      <c r="O910" s="33"/>
      <c r="P910" s="33"/>
      <c r="Q910" s="33"/>
    </row>
    <row r="911" ht="13.5" customHeight="1">
      <c r="N911" s="33"/>
      <c r="O911" s="33"/>
      <c r="P911" s="33"/>
      <c r="Q911" s="33"/>
    </row>
    <row r="912" ht="13.5" customHeight="1">
      <c r="N912" s="33"/>
      <c r="O912" s="33"/>
      <c r="P912" s="33"/>
      <c r="Q912" s="33"/>
    </row>
    <row r="913" ht="13.5" customHeight="1">
      <c r="N913" s="33"/>
      <c r="O913" s="33"/>
      <c r="P913" s="33"/>
      <c r="Q913" s="33"/>
    </row>
    <row r="914" ht="13.5" customHeight="1">
      <c r="N914" s="33"/>
      <c r="O914" s="33"/>
      <c r="P914" s="33"/>
      <c r="Q914" s="33"/>
    </row>
    <row r="915" ht="13.5" customHeight="1">
      <c r="N915" s="33"/>
      <c r="O915" s="33"/>
      <c r="P915" s="33"/>
      <c r="Q915" s="33"/>
    </row>
    <row r="916" ht="13.5" customHeight="1">
      <c r="N916" s="33"/>
      <c r="O916" s="33"/>
      <c r="P916" s="33"/>
      <c r="Q916" s="33"/>
    </row>
    <row r="917" ht="13.5" customHeight="1">
      <c r="N917" s="33"/>
      <c r="O917" s="33"/>
      <c r="P917" s="33"/>
      <c r="Q917" s="33"/>
    </row>
    <row r="918" ht="13.5" customHeight="1">
      <c r="N918" s="33"/>
      <c r="O918" s="33"/>
      <c r="P918" s="33"/>
      <c r="Q918" s="33"/>
    </row>
    <row r="919" ht="13.5" customHeight="1">
      <c r="N919" s="33"/>
      <c r="O919" s="33"/>
      <c r="P919" s="33"/>
      <c r="Q919" s="33"/>
    </row>
    <row r="920" ht="13.5" customHeight="1">
      <c r="N920" s="33"/>
      <c r="O920" s="33"/>
      <c r="P920" s="33"/>
      <c r="Q920" s="33"/>
    </row>
    <row r="921" ht="13.5" customHeight="1">
      <c r="N921" s="33"/>
      <c r="O921" s="33"/>
      <c r="P921" s="33"/>
      <c r="Q921" s="33"/>
    </row>
    <row r="922" ht="13.5" customHeight="1">
      <c r="N922" s="33"/>
      <c r="O922" s="33"/>
      <c r="P922" s="33"/>
      <c r="Q922" s="33"/>
    </row>
    <row r="923" ht="13.5" customHeight="1">
      <c r="N923" s="33"/>
      <c r="O923" s="33"/>
      <c r="P923" s="33"/>
      <c r="Q923" s="33"/>
    </row>
    <row r="924" ht="13.5" customHeight="1">
      <c r="N924" s="33"/>
      <c r="O924" s="33"/>
      <c r="P924" s="33"/>
      <c r="Q924" s="33"/>
    </row>
    <row r="925" ht="13.5" customHeight="1">
      <c r="N925" s="33"/>
      <c r="O925" s="33"/>
      <c r="P925" s="33"/>
      <c r="Q925" s="33"/>
    </row>
    <row r="926" ht="13.5" customHeight="1">
      <c r="N926" s="33"/>
      <c r="O926" s="33"/>
      <c r="P926" s="33"/>
      <c r="Q926" s="33"/>
    </row>
    <row r="927" ht="13.5" customHeight="1">
      <c r="N927" s="33"/>
      <c r="O927" s="33"/>
      <c r="P927" s="33"/>
      <c r="Q927" s="33"/>
    </row>
    <row r="928" ht="13.5" customHeight="1">
      <c r="N928" s="33"/>
      <c r="O928" s="33"/>
      <c r="P928" s="33"/>
      <c r="Q928" s="33"/>
    </row>
    <row r="929" ht="13.5" customHeight="1">
      <c r="N929" s="33"/>
      <c r="O929" s="33"/>
      <c r="P929" s="33"/>
      <c r="Q929" s="33"/>
    </row>
    <row r="930" ht="13.5" customHeight="1">
      <c r="N930" s="33"/>
      <c r="O930" s="33"/>
      <c r="P930" s="33"/>
      <c r="Q930" s="33"/>
    </row>
    <row r="931" ht="13.5" customHeight="1">
      <c r="N931" s="33"/>
      <c r="O931" s="33"/>
      <c r="P931" s="33"/>
      <c r="Q931" s="33"/>
    </row>
    <row r="932" ht="13.5" customHeight="1">
      <c r="N932" s="33"/>
      <c r="O932" s="33"/>
      <c r="P932" s="33"/>
      <c r="Q932" s="33"/>
    </row>
    <row r="933" ht="13.5" customHeight="1">
      <c r="N933" s="33"/>
      <c r="O933" s="33"/>
      <c r="P933" s="33"/>
      <c r="Q933" s="33"/>
    </row>
    <row r="934" ht="13.5" customHeight="1">
      <c r="N934" s="33"/>
      <c r="O934" s="33"/>
      <c r="P934" s="33"/>
      <c r="Q934" s="33"/>
    </row>
    <row r="935" ht="13.5" customHeight="1">
      <c r="N935" s="33"/>
      <c r="O935" s="33"/>
      <c r="P935" s="33"/>
      <c r="Q935" s="33"/>
    </row>
    <row r="936" ht="13.5" customHeight="1">
      <c r="N936" s="33"/>
      <c r="O936" s="33"/>
      <c r="P936" s="33"/>
      <c r="Q936" s="33"/>
    </row>
    <row r="937" ht="13.5" customHeight="1">
      <c r="N937" s="33"/>
      <c r="O937" s="33"/>
      <c r="P937" s="33"/>
      <c r="Q937" s="33"/>
    </row>
    <row r="938" ht="13.5" customHeight="1">
      <c r="N938" s="33"/>
      <c r="O938" s="33"/>
      <c r="P938" s="33"/>
      <c r="Q938" s="33"/>
    </row>
    <row r="939" ht="13.5" customHeight="1">
      <c r="N939" s="33"/>
      <c r="O939" s="33"/>
      <c r="P939" s="33"/>
      <c r="Q939" s="33"/>
    </row>
    <row r="940" ht="13.5" customHeight="1">
      <c r="N940" s="33"/>
      <c r="O940" s="33"/>
      <c r="P940" s="33"/>
      <c r="Q940" s="33"/>
    </row>
    <row r="941" ht="13.5" customHeight="1">
      <c r="N941" s="33"/>
      <c r="O941" s="33"/>
      <c r="P941" s="33"/>
      <c r="Q941" s="33"/>
    </row>
    <row r="942" ht="13.5" customHeight="1">
      <c r="N942" s="33"/>
      <c r="O942" s="33"/>
      <c r="P942" s="33"/>
      <c r="Q942" s="33"/>
    </row>
    <row r="943" ht="13.5" customHeight="1">
      <c r="N943" s="33"/>
      <c r="O943" s="33"/>
      <c r="P943" s="33"/>
      <c r="Q943" s="33"/>
    </row>
    <row r="944" ht="13.5" customHeight="1">
      <c r="N944" s="33"/>
      <c r="O944" s="33"/>
      <c r="P944" s="33"/>
      <c r="Q944" s="33"/>
    </row>
    <row r="945" ht="13.5" customHeight="1">
      <c r="N945" s="33"/>
      <c r="O945" s="33"/>
      <c r="P945" s="33"/>
      <c r="Q945" s="33"/>
    </row>
    <row r="946" ht="13.5" customHeight="1">
      <c r="N946" s="33"/>
      <c r="O946" s="33"/>
      <c r="P946" s="33"/>
      <c r="Q946" s="33"/>
    </row>
    <row r="947" ht="13.5" customHeight="1">
      <c r="N947" s="33"/>
      <c r="O947" s="33"/>
      <c r="P947" s="33"/>
      <c r="Q947" s="33"/>
    </row>
    <row r="948" ht="13.5" customHeight="1">
      <c r="N948" s="33"/>
      <c r="O948" s="33"/>
      <c r="P948" s="33"/>
      <c r="Q948" s="33"/>
    </row>
    <row r="949" ht="13.5" customHeight="1">
      <c r="N949" s="33"/>
      <c r="O949" s="33"/>
      <c r="P949" s="33"/>
      <c r="Q949" s="33"/>
    </row>
    <row r="950" ht="13.5" customHeight="1">
      <c r="N950" s="33"/>
      <c r="O950" s="33"/>
      <c r="P950" s="33"/>
      <c r="Q950" s="33"/>
    </row>
    <row r="951" ht="13.5" customHeight="1">
      <c r="N951" s="33"/>
      <c r="O951" s="33"/>
      <c r="P951" s="33"/>
      <c r="Q951" s="33"/>
    </row>
    <row r="952" ht="13.5" customHeight="1">
      <c r="N952" s="33"/>
      <c r="O952" s="33"/>
      <c r="P952" s="33"/>
      <c r="Q952" s="33"/>
    </row>
    <row r="953" ht="13.5" customHeight="1">
      <c r="N953" s="33"/>
      <c r="O953" s="33"/>
      <c r="P953" s="33"/>
      <c r="Q953" s="33"/>
    </row>
    <row r="954" ht="13.5" customHeight="1">
      <c r="N954" s="33"/>
      <c r="O954" s="33"/>
      <c r="P954" s="33"/>
      <c r="Q954" s="33"/>
    </row>
    <row r="955" ht="13.5" customHeight="1">
      <c r="N955" s="33"/>
      <c r="O955" s="33"/>
      <c r="P955" s="33"/>
      <c r="Q955" s="33"/>
    </row>
    <row r="956" ht="13.5" customHeight="1">
      <c r="N956" s="33"/>
      <c r="O956" s="33"/>
      <c r="P956" s="33"/>
      <c r="Q956" s="33"/>
    </row>
    <row r="957" ht="13.5" customHeight="1">
      <c r="N957" s="33"/>
      <c r="O957" s="33"/>
      <c r="P957" s="33"/>
      <c r="Q957" s="33"/>
    </row>
    <row r="958" ht="13.5" customHeight="1">
      <c r="N958" s="33"/>
      <c r="O958" s="33"/>
      <c r="P958" s="33"/>
      <c r="Q958" s="33"/>
    </row>
    <row r="959" ht="13.5" customHeight="1">
      <c r="N959" s="33"/>
      <c r="O959" s="33"/>
      <c r="P959" s="33"/>
      <c r="Q959" s="33"/>
    </row>
    <row r="960" ht="13.5" customHeight="1">
      <c r="N960" s="33"/>
      <c r="O960" s="33"/>
      <c r="P960" s="33"/>
      <c r="Q960" s="33"/>
    </row>
    <row r="961" ht="13.5" customHeight="1">
      <c r="N961" s="33"/>
      <c r="O961" s="33"/>
      <c r="P961" s="33"/>
      <c r="Q961" s="33"/>
    </row>
    <row r="962" ht="13.5" customHeight="1">
      <c r="N962" s="33"/>
      <c r="O962" s="33"/>
      <c r="P962" s="33"/>
      <c r="Q962" s="33"/>
    </row>
    <row r="963" ht="13.5" customHeight="1">
      <c r="N963" s="33"/>
      <c r="O963" s="33"/>
      <c r="P963" s="33"/>
      <c r="Q963" s="33"/>
    </row>
    <row r="964" ht="13.5" customHeight="1">
      <c r="N964" s="33"/>
      <c r="O964" s="33"/>
      <c r="P964" s="33"/>
      <c r="Q964" s="33"/>
    </row>
    <row r="965" ht="13.5" customHeight="1">
      <c r="N965" s="33"/>
      <c r="O965" s="33"/>
      <c r="P965" s="33"/>
      <c r="Q965" s="33"/>
    </row>
    <row r="966" ht="13.5" customHeight="1">
      <c r="N966" s="33"/>
      <c r="O966" s="33"/>
      <c r="P966" s="33"/>
      <c r="Q966" s="33"/>
    </row>
    <row r="967" ht="13.5" customHeight="1">
      <c r="N967" s="33"/>
      <c r="O967" s="33"/>
      <c r="P967" s="33"/>
      <c r="Q967" s="33"/>
    </row>
    <row r="968" ht="13.5" customHeight="1">
      <c r="N968" s="33"/>
      <c r="O968" s="33"/>
      <c r="P968" s="33"/>
      <c r="Q968" s="33"/>
    </row>
    <row r="969" ht="13.5" customHeight="1">
      <c r="N969" s="33"/>
      <c r="O969" s="33"/>
      <c r="P969" s="33"/>
      <c r="Q969" s="33"/>
    </row>
    <row r="970" ht="13.5" customHeight="1">
      <c r="N970" s="33"/>
      <c r="O970" s="33"/>
      <c r="P970" s="33"/>
      <c r="Q970" s="33"/>
    </row>
    <row r="971" ht="13.5" customHeight="1">
      <c r="N971" s="33"/>
      <c r="O971" s="33"/>
      <c r="P971" s="33"/>
      <c r="Q971" s="33"/>
    </row>
    <row r="972" ht="13.5" customHeight="1">
      <c r="N972" s="33"/>
      <c r="O972" s="33"/>
      <c r="P972" s="33"/>
      <c r="Q972" s="33"/>
    </row>
    <row r="973" ht="13.5" customHeight="1">
      <c r="N973" s="33"/>
      <c r="O973" s="33"/>
      <c r="P973" s="33"/>
      <c r="Q973" s="33"/>
    </row>
    <row r="974" ht="13.5" customHeight="1">
      <c r="N974" s="33"/>
      <c r="O974" s="33"/>
      <c r="P974" s="33"/>
      <c r="Q974" s="33"/>
    </row>
    <row r="975" ht="13.5" customHeight="1">
      <c r="N975" s="33"/>
      <c r="O975" s="33"/>
      <c r="P975" s="33"/>
      <c r="Q975" s="33"/>
    </row>
    <row r="976" ht="13.5" customHeight="1">
      <c r="N976" s="33"/>
      <c r="O976" s="33"/>
      <c r="P976" s="33"/>
      <c r="Q976" s="33"/>
    </row>
    <row r="977" ht="13.5" customHeight="1">
      <c r="N977" s="33"/>
      <c r="O977" s="33"/>
      <c r="P977" s="33"/>
      <c r="Q977" s="33"/>
    </row>
    <row r="978" ht="13.5" customHeight="1">
      <c r="N978" s="33"/>
      <c r="O978" s="33"/>
      <c r="P978" s="33"/>
      <c r="Q978" s="33"/>
    </row>
    <row r="979" ht="13.5" customHeight="1">
      <c r="N979" s="33"/>
      <c r="O979" s="33"/>
      <c r="P979" s="33"/>
      <c r="Q979" s="33"/>
    </row>
    <row r="980" ht="13.5" customHeight="1">
      <c r="N980" s="33"/>
      <c r="O980" s="33"/>
      <c r="P980" s="33"/>
      <c r="Q980" s="33"/>
    </row>
    <row r="981" ht="13.5" customHeight="1">
      <c r="N981" s="33"/>
      <c r="O981" s="33"/>
      <c r="P981" s="33"/>
      <c r="Q981" s="33"/>
    </row>
    <row r="982" ht="13.5" customHeight="1">
      <c r="N982" s="33"/>
      <c r="O982" s="33"/>
      <c r="P982" s="33"/>
      <c r="Q982" s="33"/>
    </row>
    <row r="983" ht="13.5" customHeight="1">
      <c r="N983" s="33"/>
      <c r="O983" s="33"/>
      <c r="P983" s="33"/>
      <c r="Q983" s="33"/>
    </row>
    <row r="984" ht="13.5" customHeight="1">
      <c r="N984" s="33"/>
      <c r="O984" s="33"/>
      <c r="P984" s="33"/>
      <c r="Q984" s="33"/>
    </row>
    <row r="985" ht="13.5" customHeight="1">
      <c r="N985" s="33"/>
      <c r="O985" s="33"/>
      <c r="P985" s="33"/>
      <c r="Q985" s="33"/>
    </row>
    <row r="986" ht="13.5" customHeight="1">
      <c r="N986" s="33"/>
      <c r="O986" s="33"/>
      <c r="P986" s="33"/>
      <c r="Q986" s="33"/>
    </row>
    <row r="987" ht="13.5" customHeight="1">
      <c r="N987" s="33"/>
      <c r="O987" s="33"/>
      <c r="P987" s="33"/>
      <c r="Q987" s="33"/>
    </row>
    <row r="988" ht="13.5" customHeight="1">
      <c r="N988" s="33"/>
      <c r="O988" s="33"/>
      <c r="P988" s="33"/>
      <c r="Q988" s="33"/>
    </row>
    <row r="989" ht="13.5" customHeight="1">
      <c r="N989" s="33"/>
      <c r="O989" s="33"/>
      <c r="P989" s="33"/>
      <c r="Q989" s="33"/>
    </row>
    <row r="990" ht="13.5" customHeight="1">
      <c r="N990" s="33"/>
      <c r="O990" s="33"/>
      <c r="P990" s="33"/>
      <c r="Q990" s="33"/>
    </row>
    <row r="991" ht="13.5" customHeight="1">
      <c r="N991" s="33"/>
      <c r="O991" s="33"/>
      <c r="P991" s="33"/>
      <c r="Q991" s="33"/>
    </row>
    <row r="992" ht="13.5" customHeight="1">
      <c r="N992" s="33"/>
      <c r="O992" s="33"/>
      <c r="P992" s="33"/>
      <c r="Q992" s="33"/>
    </row>
    <row r="993" ht="13.5" customHeight="1">
      <c r="N993" s="33"/>
      <c r="O993" s="33"/>
      <c r="P993" s="33"/>
      <c r="Q993" s="33"/>
    </row>
    <row r="994" ht="13.5" customHeight="1">
      <c r="N994" s="33"/>
      <c r="O994" s="33"/>
      <c r="P994" s="33"/>
      <c r="Q994" s="33"/>
    </row>
    <row r="995" ht="13.5" customHeight="1">
      <c r="N995" s="33"/>
      <c r="O995" s="33"/>
      <c r="P995" s="33"/>
      <c r="Q995" s="33"/>
    </row>
    <row r="996" ht="13.5" customHeight="1">
      <c r="N996" s="33"/>
      <c r="O996" s="33"/>
      <c r="P996" s="33"/>
      <c r="Q996" s="33"/>
    </row>
    <row r="997" ht="13.5" customHeight="1">
      <c r="N997" s="33"/>
      <c r="O997" s="33"/>
      <c r="P997" s="33"/>
      <c r="Q997" s="33"/>
    </row>
    <row r="998" ht="13.5" customHeight="1">
      <c r="N998" s="33"/>
      <c r="O998" s="33"/>
      <c r="P998" s="33"/>
      <c r="Q998" s="33"/>
    </row>
    <row r="999" ht="13.5" customHeight="1">
      <c r="N999" s="33"/>
      <c r="O999" s="33"/>
      <c r="P999" s="33"/>
      <c r="Q999" s="33"/>
    </row>
    <row r="1000" ht="13.5" customHeight="1">
      <c r="N1000" s="33"/>
      <c r="O1000" s="33"/>
      <c r="P1000" s="33"/>
      <c r="Q1000" s="33"/>
    </row>
  </sheetData>
  <mergeCells count="24">
    <mergeCell ref="A1:A2"/>
    <mergeCell ref="B1:C2"/>
    <mergeCell ref="D1:F1"/>
    <mergeCell ref="G1:J1"/>
    <mergeCell ref="K1:K2"/>
    <mergeCell ref="B3:C3"/>
    <mergeCell ref="B5:K5"/>
    <mergeCell ref="B6:C6"/>
    <mergeCell ref="B7:C7"/>
    <mergeCell ref="B8:C8"/>
    <mergeCell ref="B10:K10"/>
    <mergeCell ref="B14:K14"/>
    <mergeCell ref="B44:K44"/>
    <mergeCell ref="A95:J95"/>
    <mergeCell ref="B132:K132"/>
    <mergeCell ref="B162:K162"/>
    <mergeCell ref="B168:K168"/>
    <mergeCell ref="B97:K97"/>
    <mergeCell ref="B103:K103"/>
    <mergeCell ref="B104:C104"/>
    <mergeCell ref="B105:C105"/>
    <mergeCell ref="B107:K107"/>
    <mergeCell ref="B121:K121"/>
    <mergeCell ref="B124:K124"/>
  </mergeCells>
  <printOptions/>
  <pageMargins bottom="0.75" footer="0.0" header="0.0" left="0.7" right="0.7" top="0.75"/>
  <pageSetup orientation="portrait"/>
  <drawing r:id="rId1"/>
</worksheet>
</file>